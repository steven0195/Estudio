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usuario\Desktop\UNIDAD 3_ FORMULACIÓN\"/>
    </mc:Choice>
  </mc:AlternateContent>
  <xr:revisionPtr revIDLastSave="0" documentId="13_ncr:1_{9725423F-9E76-43C8-9DA3-02C2137FE39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jemplo 1 y 2" sheetId="7" r:id="rId1"/>
    <sheet name="ALTERNATIVA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8" l="1"/>
  <c r="I7" i="8" s="1"/>
  <c r="K7" i="8" s="1"/>
  <c r="B9" i="8"/>
  <c r="C8" i="8" s="1"/>
  <c r="E8" i="8" s="1"/>
  <c r="B19" i="7"/>
  <c r="C16" i="7" s="1"/>
  <c r="E16" i="7" s="1"/>
  <c r="H8" i="7"/>
  <c r="I5" i="7" s="1"/>
  <c r="K5" i="7" s="1"/>
  <c r="I4" i="8" l="1"/>
  <c r="K4" i="8" s="1"/>
  <c r="I8" i="8"/>
  <c r="K8" i="8" s="1"/>
  <c r="C6" i="8"/>
  <c r="E6" i="8" s="1"/>
  <c r="I6" i="8"/>
  <c r="K6" i="8" s="1"/>
  <c r="I5" i="8"/>
  <c r="K5" i="8" s="1"/>
  <c r="K9" i="8" s="1"/>
  <c r="K10" i="8" s="1"/>
  <c r="C5" i="8"/>
  <c r="E5" i="8" s="1"/>
  <c r="C7" i="8"/>
  <c r="E7" i="8" s="1"/>
  <c r="C4" i="8"/>
  <c r="C17" i="7"/>
  <c r="E17" i="7" s="1"/>
  <c r="C15" i="7"/>
  <c r="E15" i="7" s="1"/>
  <c r="C18" i="7"/>
  <c r="E18" i="7" s="1"/>
  <c r="I7" i="7"/>
  <c r="K7" i="7" s="1"/>
  <c r="I6" i="7"/>
  <c r="K6" i="7" s="1"/>
  <c r="I4" i="7"/>
  <c r="C9" i="8" l="1"/>
  <c r="I9" i="8"/>
  <c r="E4" i="8"/>
  <c r="E9" i="8" s="1"/>
  <c r="E10" i="8" s="1"/>
  <c r="E19" i="7"/>
  <c r="E20" i="7" s="1"/>
  <c r="C19" i="7"/>
  <c r="I8" i="7"/>
  <c r="K4" i="7"/>
  <c r="K8" i="7" s="1"/>
  <c r="K9" i="7" s="1"/>
  <c r="B8" i="7" l="1"/>
  <c r="C4" i="7" s="1"/>
  <c r="E4" i="7" s="1"/>
  <c r="C5" i="7" l="1"/>
  <c r="E5" i="7" s="1"/>
  <c r="C7" i="7"/>
  <c r="E7" i="7" s="1"/>
  <c r="C6" i="7"/>
  <c r="E6" i="7" s="1"/>
  <c r="E8" i="7" l="1"/>
  <c r="E9" i="7" s="1"/>
  <c r="C8" i="7"/>
</calcChain>
</file>

<file path=xl/sharedStrings.xml><?xml version="1.0" encoding="utf-8"?>
<sst xmlns="http://schemas.openxmlformats.org/spreadsheetml/2006/main" count="68" uniqueCount="29">
  <si>
    <t>TOTAL</t>
  </si>
  <si>
    <t>SOCIOS</t>
  </si>
  <si>
    <t>BANCOLOMBIA</t>
  </si>
  <si>
    <t>BANCO DE BOGOTÁ</t>
  </si>
  <si>
    <t>PROVEEDORES</t>
  </si>
  <si>
    <t xml:space="preserve">COSTO PROMEDIO PONDERADO DE CAPITAL </t>
  </si>
  <si>
    <t>Cuenta Capital o aportante de capital</t>
  </si>
  <si>
    <t>Monto anual de cada participante</t>
  </si>
  <si>
    <t>Porcentaje % participación</t>
  </si>
  <si>
    <t>Costo Promedio Ponderado  (%)</t>
  </si>
  <si>
    <t>CONFECCIONES SAS</t>
  </si>
  <si>
    <t>MULTITIENDAS LTDA</t>
  </si>
  <si>
    <t>REMATES  SA</t>
  </si>
  <si>
    <t>BANCO AVVILLAS</t>
  </si>
  <si>
    <t>El costo de capital de la empresa para el año 2023  es del 16,70% E.A</t>
  </si>
  <si>
    <t>El costo de capital de la empresa para el año 2023  es del 18,47% E.A</t>
  </si>
  <si>
    <t>El costo de capital de la empresa para el año 2023  es del 12,89% E.A</t>
  </si>
  <si>
    <t>PROVEDOR CUEROLIN</t>
  </si>
  <si>
    <t>PROVEEDORE CUERO VIEJO</t>
  </si>
  <si>
    <t>AV VILLAS</t>
  </si>
  <si>
    <t>BANCO DE DAVIVIENDA</t>
  </si>
  <si>
    <t>El costo de capital de la empresa para el año 2023  es del 11,65% E.A</t>
  </si>
  <si>
    <t>TEXTILES NACIONALES SAS-ALTERNATIVA A</t>
  </si>
  <si>
    <t>TEXTILES NACIONALES SAS-ALTERNATIVA B</t>
  </si>
  <si>
    <t>PROVEDOR TRAPOS MALOS</t>
  </si>
  <si>
    <t>PROVEEDORE CHIROS ROTOS</t>
  </si>
  <si>
    <t>El costo de capital de la empresa para el año 2023  es del 11,93% E.A</t>
  </si>
  <si>
    <t>Costo de interés anual_ INTERESES</t>
  </si>
  <si>
    <t>LA MEJOR ALTERNATIVA DE FINANCIAMIENTO ES LA OPCIÓN A; LO CUAL SE DA PORUQE EL FINANCIAMIENTO CON EL PROVEEDOR CUEROLIN ES MÁS ECONOMICO.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</si>
</sst>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0.0000"/>
    <numFmt numFmtId="166" formatCode="_(&quot;$&quot;\ * #,##0_);_(&quot;$&quot;\ * \(#,##0\);_(&quot;$&quot;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3" fillId="0" borderId="1" xfId="2" applyNumberFormat="1" applyFont="1" applyBorder="1"/>
    <xf numFmtId="166" fontId="0" fillId="0" borderId="1" xfId="2" applyNumberFormat="1" applyFont="1" applyBorder="1"/>
    <xf numFmtId="165" fontId="7" fillId="0" borderId="2" xfId="0" applyNumberFormat="1" applyFont="1" applyBorder="1" applyAlignment="1">
      <alignment horizontal="right"/>
    </xf>
    <xf numFmtId="2" fontId="7" fillId="0" borderId="2" xfId="0" applyNumberFormat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/>
    <xf numFmtId="10" fontId="0" fillId="0" borderId="1" xfId="1" applyNumberFormat="1" applyFont="1" applyBorder="1"/>
    <xf numFmtId="10" fontId="6" fillId="2" borderId="1" xfId="1" applyNumberFormat="1" applyFont="1" applyFill="1" applyBorder="1"/>
    <xf numFmtId="0" fontId="4" fillId="3" borderId="0" xfId="0" applyFont="1" applyFill="1"/>
    <xf numFmtId="10" fontId="3" fillId="0" borderId="1" xfId="1" applyNumberFormat="1" applyFont="1" applyBorder="1"/>
    <xf numFmtId="10" fontId="7" fillId="0" borderId="2" xfId="1" applyNumberFormat="1" applyFont="1" applyBorder="1"/>
    <xf numFmtId="0" fontId="2" fillId="0" borderId="0" xfId="0" applyFont="1"/>
    <xf numFmtId="10" fontId="6" fillId="4" borderId="1" xfId="1" applyNumberFormat="1" applyFont="1" applyFill="1" applyBorder="1"/>
    <xf numFmtId="0" fontId="8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7" fillId="0" borderId="3" xfId="0" applyNumberFormat="1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0" fontId="4" fillId="4" borderId="0" xfId="0" applyFont="1" applyFill="1" applyAlignment="1">
      <alignment horizontal="center" vertical="center" wrapText="1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66FF99"/>
      <color rgb="FF0033CC"/>
      <color rgb="FF00FFFF"/>
      <color rgb="FF00CCFF"/>
      <color rgb="FF9C9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opLeftCell="A7" zoomScaleNormal="100" workbookViewId="0">
      <selection activeCell="G12" sqref="G12"/>
    </sheetView>
  </sheetViews>
  <sheetFormatPr baseColWidth="10" defaultRowHeight="15" x14ac:dyDescent="0.25"/>
  <cols>
    <col min="1" max="1" width="17.5703125" bestFit="1" customWidth="1"/>
    <col min="2" max="2" width="19.28515625" customWidth="1"/>
    <col min="3" max="3" width="14.140625" customWidth="1"/>
    <col min="4" max="4" width="14.5703125" customWidth="1"/>
    <col min="5" max="5" width="27.85546875" customWidth="1"/>
    <col min="6" max="6" width="3.28515625" customWidth="1"/>
    <col min="7" max="7" width="18" bestFit="1" customWidth="1"/>
    <col min="8" max="8" width="19.42578125" bestFit="1" customWidth="1"/>
    <col min="9" max="9" width="16.5703125" bestFit="1" customWidth="1"/>
    <col min="10" max="10" width="19.140625" bestFit="1" customWidth="1"/>
    <col min="11" max="11" width="20.5703125" customWidth="1"/>
    <col min="12" max="12" width="3.42578125" customWidth="1"/>
  </cols>
  <sheetData>
    <row r="1" spans="1:12" ht="23.25" x14ac:dyDescent="0.35">
      <c r="A1" s="17" t="s">
        <v>10</v>
      </c>
      <c r="B1" s="17"/>
      <c r="C1" s="17"/>
      <c r="D1" s="17"/>
      <c r="E1" s="17"/>
      <c r="F1" s="9"/>
      <c r="G1" s="17" t="s">
        <v>11</v>
      </c>
      <c r="H1" s="17"/>
      <c r="I1" s="17"/>
      <c r="J1" s="17"/>
      <c r="K1" s="17"/>
      <c r="L1" s="9"/>
    </row>
    <row r="2" spans="1:12" x14ac:dyDescent="0.25">
      <c r="F2" s="9"/>
      <c r="L2" s="9"/>
    </row>
    <row r="3" spans="1:12" ht="41.45" customHeight="1" x14ac:dyDescent="0.25">
      <c r="A3" s="6" t="s">
        <v>6</v>
      </c>
      <c r="B3" s="6" t="s">
        <v>7</v>
      </c>
      <c r="C3" s="8" t="s">
        <v>8</v>
      </c>
      <c r="D3" s="8" t="s">
        <v>27</v>
      </c>
      <c r="E3" s="6" t="s">
        <v>9</v>
      </c>
      <c r="F3" s="9"/>
      <c r="G3" s="6" t="s">
        <v>6</v>
      </c>
      <c r="H3" s="6" t="s">
        <v>7</v>
      </c>
      <c r="I3" s="8" t="s">
        <v>8</v>
      </c>
      <c r="J3" s="8" t="s">
        <v>27</v>
      </c>
      <c r="K3" s="6" t="s">
        <v>9</v>
      </c>
      <c r="L3" s="9"/>
    </row>
    <row r="4" spans="1:12" ht="15.75" x14ac:dyDescent="0.25">
      <c r="A4" s="5" t="s">
        <v>2</v>
      </c>
      <c r="B4" s="2">
        <v>130000000</v>
      </c>
      <c r="C4" s="11">
        <f>+B4/$B$8</f>
        <v>0.3048780487804878</v>
      </c>
      <c r="D4" s="11">
        <v>0.11700000000000001</v>
      </c>
      <c r="E4" s="10">
        <f>C4*D4</f>
        <v>3.5670731707317077E-2</v>
      </c>
      <c r="F4" s="9"/>
      <c r="G4" s="5" t="s">
        <v>2</v>
      </c>
      <c r="H4" s="2">
        <v>85000000</v>
      </c>
      <c r="I4" s="11">
        <f>+H4/$H$8</f>
        <v>0.28815122176118024</v>
      </c>
      <c r="J4" s="11">
        <v>0.151</v>
      </c>
      <c r="K4" s="10">
        <f>+I4*J4</f>
        <v>4.3510834485938218E-2</v>
      </c>
      <c r="L4" s="9"/>
    </row>
    <row r="5" spans="1:12" ht="15.75" x14ac:dyDescent="0.25">
      <c r="A5" s="5" t="s">
        <v>3</v>
      </c>
      <c r="B5" s="2">
        <v>100000000</v>
      </c>
      <c r="C5" s="11">
        <f>+B5/$B$8</f>
        <v>0.23452157598499063</v>
      </c>
      <c r="D5" s="11">
        <v>0.1268</v>
      </c>
      <c r="E5" s="10">
        <f t="shared" ref="E5:E7" si="0">C5*D5</f>
        <v>2.9737335834896812E-2</v>
      </c>
      <c r="F5" s="9"/>
      <c r="G5" s="5" t="s">
        <v>3</v>
      </c>
      <c r="H5" s="2">
        <v>75000000</v>
      </c>
      <c r="I5" s="11">
        <f t="shared" ref="I5:I7" si="1">+H5/$H$8</f>
        <v>0.25425107802457081</v>
      </c>
      <c r="J5" s="11">
        <v>0.1105</v>
      </c>
      <c r="K5" s="10">
        <f t="shared" ref="K5:K7" si="2">+I5*J5</f>
        <v>2.8094744121715073E-2</v>
      </c>
      <c r="L5" s="9"/>
    </row>
    <row r="6" spans="1:12" ht="15.75" x14ac:dyDescent="0.25">
      <c r="A6" s="5" t="s">
        <v>4</v>
      </c>
      <c r="B6" s="2">
        <v>116400000</v>
      </c>
      <c r="C6" s="11">
        <f>+B6/$B$8</f>
        <v>0.27298311444652906</v>
      </c>
      <c r="D6" s="11">
        <v>0.24099999999999999</v>
      </c>
      <c r="E6" s="10">
        <f t="shared" si="0"/>
        <v>6.5788930581613503E-2</v>
      </c>
      <c r="F6" s="9"/>
      <c r="G6" s="5" t="s">
        <v>4</v>
      </c>
      <c r="H6" s="2">
        <v>69984000</v>
      </c>
      <c r="I6" s="11">
        <f t="shared" si="1"/>
        <v>0.23724676592628752</v>
      </c>
      <c r="J6" s="11">
        <v>0</v>
      </c>
      <c r="K6" s="10">
        <f t="shared" si="2"/>
        <v>0</v>
      </c>
      <c r="L6" s="9"/>
    </row>
    <row r="7" spans="1:12" ht="15.75" x14ac:dyDescent="0.25">
      <c r="A7" s="5" t="s">
        <v>1</v>
      </c>
      <c r="B7" s="2">
        <v>80000000</v>
      </c>
      <c r="C7" s="11">
        <f>+B7/$B$8</f>
        <v>0.18761726078799248</v>
      </c>
      <c r="D7" s="11">
        <v>0.28499999999999998</v>
      </c>
      <c r="E7" s="10">
        <f t="shared" si="0"/>
        <v>5.3470919324577856E-2</v>
      </c>
      <c r="F7" s="9"/>
      <c r="G7" s="5" t="s">
        <v>1</v>
      </c>
      <c r="H7" s="2">
        <v>65000000</v>
      </c>
      <c r="I7" s="11">
        <f t="shared" si="1"/>
        <v>0.22035093428796138</v>
      </c>
      <c r="J7" s="11">
        <v>0.26</v>
      </c>
      <c r="K7" s="10">
        <f t="shared" si="2"/>
        <v>5.7291242914869957E-2</v>
      </c>
      <c r="L7" s="9"/>
    </row>
    <row r="8" spans="1:12" ht="18.75" x14ac:dyDescent="0.3">
      <c r="A8" s="7" t="s">
        <v>0</v>
      </c>
      <c r="B8" s="1">
        <f>SUM(B4:B7)</f>
        <v>426400000</v>
      </c>
      <c r="C8" s="13">
        <f>C4+C5+C6+C7</f>
        <v>1</v>
      </c>
      <c r="D8" s="11"/>
      <c r="E8" s="13">
        <f>SUM(E4:E7)</f>
        <v>0.18466791744840527</v>
      </c>
      <c r="F8" s="9"/>
      <c r="G8" s="7" t="s">
        <v>0</v>
      </c>
      <c r="H8" s="1">
        <f>SUM(H4:H7)</f>
        <v>294984000</v>
      </c>
      <c r="I8" s="13">
        <f>I4+I5+I6+I7</f>
        <v>0.99999999999999989</v>
      </c>
      <c r="J8" s="11"/>
      <c r="K8" s="13">
        <f>K4+K5+K6+K7</f>
        <v>0.12889682152252324</v>
      </c>
      <c r="L8" s="9"/>
    </row>
    <row r="9" spans="1:12" ht="18.75" x14ac:dyDescent="0.3">
      <c r="B9" s="15"/>
      <c r="C9" s="15"/>
      <c r="D9" s="3" t="s">
        <v>5</v>
      </c>
      <c r="E9" s="4">
        <f>E8*100</f>
        <v>18.466791744840528</v>
      </c>
      <c r="F9" s="9"/>
      <c r="G9" s="19" t="s">
        <v>5</v>
      </c>
      <c r="H9" s="20"/>
      <c r="I9" s="20"/>
      <c r="J9" s="21"/>
      <c r="K9" s="14">
        <f>K8</f>
        <v>0.12889682152252324</v>
      </c>
      <c r="L9" s="9"/>
    </row>
    <row r="10" spans="1:12" ht="21" x14ac:dyDescent="0.35">
      <c r="A10" s="18" t="s">
        <v>15</v>
      </c>
      <c r="B10" s="18"/>
      <c r="C10" s="18"/>
      <c r="D10" s="18"/>
      <c r="E10" s="18"/>
      <c r="F10" s="12"/>
      <c r="G10" s="18" t="s">
        <v>16</v>
      </c>
      <c r="H10" s="18"/>
      <c r="I10" s="18"/>
      <c r="J10" s="18"/>
      <c r="K10" s="18"/>
      <c r="L10" s="9"/>
    </row>
    <row r="11" spans="1:1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23.25" x14ac:dyDescent="0.35">
      <c r="A12" s="17" t="s">
        <v>12</v>
      </c>
      <c r="B12" s="17"/>
      <c r="C12" s="17"/>
      <c r="D12" s="17"/>
      <c r="E12" s="17"/>
      <c r="F12" s="9"/>
    </row>
    <row r="13" spans="1:12" x14ac:dyDescent="0.25">
      <c r="F13" s="9"/>
    </row>
    <row r="14" spans="1:12" ht="45" x14ac:dyDescent="0.25">
      <c r="A14" s="6" t="s">
        <v>6</v>
      </c>
      <c r="B14" s="6" t="s">
        <v>7</v>
      </c>
      <c r="C14" s="8" t="s">
        <v>8</v>
      </c>
      <c r="D14" s="8" t="s">
        <v>27</v>
      </c>
      <c r="E14" s="6" t="s">
        <v>9</v>
      </c>
      <c r="F14" s="9"/>
    </row>
    <row r="15" spans="1:12" ht="15.75" x14ac:dyDescent="0.25">
      <c r="A15" s="5" t="s">
        <v>2</v>
      </c>
      <c r="B15" s="2">
        <v>98000000</v>
      </c>
      <c r="C15" s="11">
        <f>+B15/$B$19</f>
        <v>0.27123372597644141</v>
      </c>
      <c r="D15" s="11">
        <v>0.1268</v>
      </c>
      <c r="E15" s="10">
        <f>C15*D15</f>
        <v>3.4392436453812771E-2</v>
      </c>
      <c r="F15" s="9"/>
    </row>
    <row r="16" spans="1:12" ht="15.75" x14ac:dyDescent="0.25">
      <c r="A16" s="5" t="s">
        <v>13</v>
      </c>
      <c r="B16" s="2">
        <v>92000000</v>
      </c>
      <c r="C16" s="11">
        <f t="shared" ref="C16:C18" si="3">+B16/$B$19</f>
        <v>0.25462757948808784</v>
      </c>
      <c r="D16" s="11">
        <v>0.17499999999999999</v>
      </c>
      <c r="E16" s="10">
        <f t="shared" ref="E16:E18" si="4">C16*D16</f>
        <v>4.4559826410415372E-2</v>
      </c>
      <c r="F16" s="9"/>
    </row>
    <row r="17" spans="1:6" ht="15.75" x14ac:dyDescent="0.25">
      <c r="A17" s="5" t="s">
        <v>4</v>
      </c>
      <c r="B17" s="2">
        <v>81312000</v>
      </c>
      <c r="C17" s="11">
        <f t="shared" si="3"/>
        <v>0.2250464972101674</v>
      </c>
      <c r="D17" s="11">
        <v>0.12909999999999999</v>
      </c>
      <c r="E17" s="10">
        <f t="shared" si="4"/>
        <v>2.9053502789832607E-2</v>
      </c>
      <c r="F17" s="9"/>
    </row>
    <row r="18" spans="1:6" ht="15.75" x14ac:dyDescent="0.25">
      <c r="A18" s="5" t="s">
        <v>1</v>
      </c>
      <c r="B18" s="2">
        <v>90000000</v>
      </c>
      <c r="C18" s="11">
        <f t="shared" si="3"/>
        <v>0.24909219732530333</v>
      </c>
      <c r="D18" s="11">
        <v>0.23699999999999999</v>
      </c>
      <c r="E18" s="10">
        <f t="shared" si="4"/>
        <v>5.9034850766096887E-2</v>
      </c>
      <c r="F18" s="9"/>
    </row>
    <row r="19" spans="1:6" ht="18.75" x14ac:dyDescent="0.3">
      <c r="A19" s="7" t="s">
        <v>0</v>
      </c>
      <c r="B19" s="1">
        <f>SUM(B15:B18)</f>
        <v>361312000</v>
      </c>
      <c r="C19" s="13">
        <f>C15+C16+C17+C18</f>
        <v>1</v>
      </c>
      <c r="D19" s="11"/>
      <c r="E19" s="13">
        <f>SUM(E15:E18)</f>
        <v>0.16704061642015763</v>
      </c>
      <c r="F19" s="9"/>
    </row>
    <row r="20" spans="1:6" ht="18.75" x14ac:dyDescent="0.3">
      <c r="B20" s="15"/>
      <c r="C20" s="15"/>
      <c r="D20" s="3" t="s">
        <v>5</v>
      </c>
      <c r="E20" s="4">
        <f>E19*100</f>
        <v>16.704061642015763</v>
      </c>
      <c r="F20" s="9"/>
    </row>
    <row r="21" spans="1:6" ht="21" x14ac:dyDescent="0.35">
      <c r="A21" s="18" t="s">
        <v>14</v>
      </c>
      <c r="B21" s="18"/>
      <c r="C21" s="18"/>
      <c r="D21" s="18"/>
      <c r="E21" s="18"/>
      <c r="F21" s="12"/>
    </row>
    <row r="22" spans="1:6" x14ac:dyDescent="0.25">
      <c r="A22" s="9"/>
      <c r="B22" s="9"/>
      <c r="C22" s="9"/>
      <c r="D22" s="9"/>
      <c r="E22" s="9"/>
      <c r="F22" s="9"/>
    </row>
  </sheetData>
  <mergeCells count="7">
    <mergeCell ref="G1:K1"/>
    <mergeCell ref="G10:K10"/>
    <mergeCell ref="G9:J9"/>
    <mergeCell ref="A12:E12"/>
    <mergeCell ref="A21:E21"/>
    <mergeCell ref="A10:E10"/>
    <mergeCell ref="A1:E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6EF-8102-46FC-BC14-A2417FA4BE19}">
  <dimension ref="A1:L21"/>
  <sheetViews>
    <sheetView tabSelected="1" topLeftCell="A2" zoomScaleNormal="100" workbookViewId="0">
      <selection activeCell="G16" sqref="G16"/>
    </sheetView>
  </sheetViews>
  <sheetFormatPr baseColWidth="10" defaultRowHeight="15" x14ac:dyDescent="0.25"/>
  <cols>
    <col min="1" max="1" width="23" customWidth="1"/>
    <col min="2" max="2" width="19.28515625" customWidth="1"/>
    <col min="3" max="3" width="14.140625" customWidth="1"/>
    <col min="4" max="4" width="14.5703125" customWidth="1"/>
    <col min="5" max="5" width="19.28515625" customWidth="1"/>
    <col min="6" max="6" width="3.28515625" customWidth="1"/>
    <col min="7" max="7" width="26" customWidth="1"/>
    <col min="8" max="8" width="19.42578125" bestFit="1" customWidth="1"/>
    <col min="10" max="10" width="15.28515625" customWidth="1"/>
    <col min="11" max="11" width="20.42578125" customWidth="1"/>
  </cols>
  <sheetData>
    <row r="1" spans="1:12" ht="23.25" x14ac:dyDescent="0.35">
      <c r="A1" s="17" t="s">
        <v>22</v>
      </c>
      <c r="B1" s="17"/>
      <c r="C1" s="17"/>
      <c r="D1" s="17"/>
      <c r="E1" s="17"/>
      <c r="F1" s="9"/>
      <c r="G1" s="17" t="s">
        <v>23</v>
      </c>
      <c r="H1" s="17"/>
      <c r="I1" s="17"/>
      <c r="J1" s="17"/>
      <c r="K1" s="17"/>
      <c r="L1" s="9"/>
    </row>
    <row r="2" spans="1:12" x14ac:dyDescent="0.25">
      <c r="F2" s="9"/>
      <c r="L2" s="9"/>
    </row>
    <row r="3" spans="1:12" ht="41.45" customHeight="1" x14ac:dyDescent="0.25">
      <c r="A3" s="6" t="s">
        <v>6</v>
      </c>
      <c r="B3" s="6" t="s">
        <v>7</v>
      </c>
      <c r="C3" s="8" t="s">
        <v>8</v>
      </c>
      <c r="D3" s="8" t="s">
        <v>27</v>
      </c>
      <c r="E3" s="6" t="s">
        <v>9</v>
      </c>
      <c r="F3" s="9"/>
      <c r="G3" s="6" t="s">
        <v>6</v>
      </c>
      <c r="H3" s="6" t="s">
        <v>7</v>
      </c>
      <c r="I3" s="8" t="s">
        <v>8</v>
      </c>
      <c r="J3" s="8" t="s">
        <v>27</v>
      </c>
      <c r="K3" s="6" t="s">
        <v>9</v>
      </c>
      <c r="L3" s="9"/>
    </row>
    <row r="4" spans="1:12" ht="15.75" x14ac:dyDescent="0.25">
      <c r="A4" s="5" t="s">
        <v>19</v>
      </c>
      <c r="B4" s="2">
        <v>85000000</v>
      </c>
      <c r="C4" s="11">
        <f>+B4/$B$9</f>
        <v>0.19665364896629589</v>
      </c>
      <c r="D4" s="11">
        <v>0.13200000000000001</v>
      </c>
      <c r="E4" s="10">
        <f>C4*D4</f>
        <v>2.5958281663551058E-2</v>
      </c>
      <c r="F4" s="9"/>
      <c r="G4" s="5" t="s">
        <v>19</v>
      </c>
      <c r="H4" s="2">
        <v>95000000</v>
      </c>
      <c r="I4" s="11">
        <f>+H4/$H$9</f>
        <v>0.21975124159451501</v>
      </c>
      <c r="J4" s="11">
        <v>0.1144</v>
      </c>
      <c r="K4" s="10">
        <f>I4*J4</f>
        <v>2.5139542038412517E-2</v>
      </c>
      <c r="L4" s="9"/>
    </row>
    <row r="5" spans="1:12" ht="15.75" x14ac:dyDescent="0.25">
      <c r="A5" s="5" t="s">
        <v>20</v>
      </c>
      <c r="B5" s="2">
        <v>95000000</v>
      </c>
      <c r="C5" s="11">
        <f>+B5/$B$9</f>
        <v>0.2197893723740954</v>
      </c>
      <c r="D5" s="11">
        <v>0.1268</v>
      </c>
      <c r="E5" s="10">
        <f t="shared" ref="E5:E8" si="0">C5*D5</f>
        <v>2.7869292417035296E-2</v>
      </c>
      <c r="F5" s="9"/>
      <c r="G5" s="5" t="s">
        <v>20</v>
      </c>
      <c r="H5" s="2">
        <v>85000000</v>
      </c>
      <c r="I5" s="11">
        <f>+H5/$H$9</f>
        <v>0.19661953195298712</v>
      </c>
      <c r="J5" s="11">
        <v>0.13200000000000001</v>
      </c>
      <c r="K5" s="10">
        <f t="shared" ref="K5:K8" si="1">I5*J5</f>
        <v>2.59537782177943E-2</v>
      </c>
      <c r="L5" s="9"/>
    </row>
    <row r="6" spans="1:12" ht="15.75" x14ac:dyDescent="0.25">
      <c r="A6" s="5" t="s">
        <v>17</v>
      </c>
      <c r="B6" s="2">
        <v>74880000</v>
      </c>
      <c r="C6" s="11">
        <f>+B6/$B$9</f>
        <v>0.17324029687760276</v>
      </c>
      <c r="D6" s="16">
        <v>0.1084</v>
      </c>
      <c r="E6" s="10">
        <f t="shared" si="0"/>
        <v>1.8779248181532138E-2</v>
      </c>
      <c r="F6" s="9"/>
      <c r="G6" s="5" t="s">
        <v>24</v>
      </c>
      <c r="H6" s="2">
        <v>74763000</v>
      </c>
      <c r="I6" s="11">
        <f>+H6/$H$9</f>
        <v>0.17293960079295501</v>
      </c>
      <c r="J6" s="11">
        <v>0</v>
      </c>
      <c r="K6" s="10">
        <f t="shared" si="1"/>
        <v>0</v>
      </c>
      <c r="L6" s="9"/>
    </row>
    <row r="7" spans="1:12" ht="15.75" x14ac:dyDescent="0.25">
      <c r="A7" s="5" t="s">
        <v>18</v>
      </c>
      <c r="B7" s="2">
        <v>92352000</v>
      </c>
      <c r="C7" s="11">
        <f>+B7/$B$9</f>
        <v>0.21366303281571009</v>
      </c>
      <c r="D7" s="11">
        <v>0</v>
      </c>
      <c r="E7" s="10">
        <f t="shared" si="0"/>
        <v>0</v>
      </c>
      <c r="F7" s="9"/>
      <c r="G7" s="5" t="s">
        <v>25</v>
      </c>
      <c r="H7" s="2">
        <v>92544000</v>
      </c>
      <c r="I7" s="11">
        <f>+H7/$H$9</f>
        <v>0.21407009370655575</v>
      </c>
      <c r="J7" s="16">
        <v>0.1212</v>
      </c>
      <c r="K7" s="10">
        <f t="shared" si="1"/>
        <v>2.5945295357234558E-2</v>
      </c>
      <c r="L7" s="9"/>
    </row>
    <row r="8" spans="1:12" ht="15.75" x14ac:dyDescent="0.25">
      <c r="A8" s="5" t="s">
        <v>1</v>
      </c>
      <c r="B8" s="2">
        <v>85000000</v>
      </c>
      <c r="C8" s="11">
        <f>+B8/$B$9</f>
        <v>0.19665364896629589</v>
      </c>
      <c r="D8" s="11">
        <v>0.223</v>
      </c>
      <c r="E8" s="10">
        <f t="shared" si="0"/>
        <v>4.3853763719483983E-2</v>
      </c>
      <c r="F8" s="9"/>
      <c r="G8" s="5" t="s">
        <v>1</v>
      </c>
      <c r="H8" s="2">
        <v>85000000</v>
      </c>
      <c r="I8" s="11">
        <f>+H8/$H$9</f>
        <v>0.19661953195298712</v>
      </c>
      <c r="J8" s="11">
        <v>0.215</v>
      </c>
      <c r="K8" s="10">
        <f t="shared" si="1"/>
        <v>4.2273199369892232E-2</v>
      </c>
      <c r="L8" s="9"/>
    </row>
    <row r="9" spans="1:12" ht="18.75" x14ac:dyDescent="0.3">
      <c r="A9" s="7" t="s">
        <v>0</v>
      </c>
      <c r="B9" s="1">
        <f>SUM(B4:B8)</f>
        <v>432232000</v>
      </c>
      <c r="C9" s="13">
        <f>C4+C5+C7+C8+C6</f>
        <v>1</v>
      </c>
      <c r="D9" s="11"/>
      <c r="E9" s="13">
        <f>SUM(E4:E8)</f>
        <v>0.11646058598160247</v>
      </c>
      <c r="F9" s="9"/>
      <c r="G9" s="7" t="s">
        <v>0</v>
      </c>
      <c r="H9" s="1">
        <f>SUM(H4:H8)</f>
        <v>432307000</v>
      </c>
      <c r="I9" s="13">
        <f>I4+I5+I7+I8+I6</f>
        <v>1</v>
      </c>
      <c r="J9" s="11"/>
      <c r="K9" s="13">
        <f>SUM(K4:K8)</f>
        <v>0.1193118149833336</v>
      </c>
      <c r="L9" s="9"/>
    </row>
    <row r="10" spans="1:12" ht="18.75" x14ac:dyDescent="0.3">
      <c r="B10" s="15"/>
      <c r="C10" s="15"/>
      <c r="D10" s="3" t="s">
        <v>5</v>
      </c>
      <c r="E10" s="4">
        <f>E9*100</f>
        <v>11.646058598160247</v>
      </c>
      <c r="F10" s="9"/>
      <c r="H10" s="15"/>
      <c r="I10" s="15"/>
      <c r="J10" s="3" t="s">
        <v>5</v>
      </c>
      <c r="K10" s="4">
        <f>K9*100</f>
        <v>11.931181498333359</v>
      </c>
      <c r="L10" s="9"/>
    </row>
    <row r="11" spans="1:12" ht="21" x14ac:dyDescent="0.35">
      <c r="A11" s="18" t="s">
        <v>21</v>
      </c>
      <c r="B11" s="18"/>
      <c r="C11" s="18"/>
      <c r="D11" s="18"/>
      <c r="E11" s="18"/>
      <c r="F11" s="12"/>
      <c r="G11" s="18" t="s">
        <v>26</v>
      </c>
      <c r="H11" s="18"/>
      <c r="I11" s="18"/>
      <c r="J11" s="18"/>
      <c r="K11" s="18"/>
      <c r="L11" s="12"/>
    </row>
    <row r="12" spans="1:1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4" spans="1:12" x14ac:dyDescent="0.25">
      <c r="A14" s="22" t="s">
        <v>28</v>
      </c>
      <c r="B14" s="22"/>
      <c r="C14" s="22"/>
      <c r="D14" s="22"/>
      <c r="E14" s="22"/>
    </row>
    <row r="15" spans="1:12" x14ac:dyDescent="0.25">
      <c r="A15" s="22"/>
      <c r="B15" s="22"/>
      <c r="C15" s="22"/>
      <c r="D15" s="22"/>
      <c r="E15" s="22"/>
    </row>
    <row r="16" spans="1:12" x14ac:dyDescent="0.25">
      <c r="A16" s="22"/>
      <c r="B16" s="22"/>
      <c r="C16" s="22"/>
      <c r="D16" s="22"/>
      <c r="E16" s="22"/>
    </row>
    <row r="17" spans="1:5" x14ac:dyDescent="0.25">
      <c r="A17" s="22"/>
      <c r="B17" s="22"/>
      <c r="C17" s="22"/>
      <c r="D17" s="22"/>
      <c r="E17" s="22"/>
    </row>
    <row r="18" spans="1:5" x14ac:dyDescent="0.25">
      <c r="A18" s="22"/>
      <c r="B18" s="22"/>
      <c r="C18" s="22"/>
      <c r="D18" s="22"/>
      <c r="E18" s="22"/>
    </row>
    <row r="19" spans="1:5" x14ac:dyDescent="0.25">
      <c r="A19" s="22"/>
      <c r="B19" s="22"/>
      <c r="C19" s="22"/>
      <c r="D19" s="22"/>
      <c r="E19" s="22"/>
    </row>
    <row r="20" spans="1:5" ht="3" customHeight="1" x14ac:dyDescent="0.25">
      <c r="A20" s="22"/>
      <c r="B20" s="22"/>
      <c r="C20" s="22"/>
      <c r="D20" s="22"/>
      <c r="E20" s="22"/>
    </row>
    <row r="21" spans="1:5" hidden="1" x14ac:dyDescent="0.25">
      <c r="A21" s="22"/>
      <c r="B21" s="22"/>
      <c r="C21" s="22"/>
      <c r="D21" s="22"/>
      <c r="E21" s="22"/>
    </row>
  </sheetData>
  <mergeCells count="5">
    <mergeCell ref="G1:K1"/>
    <mergeCell ref="G11:K11"/>
    <mergeCell ref="A1:E1"/>
    <mergeCell ref="A11:E11"/>
    <mergeCell ref="A14:E2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1 y 2</vt:lpstr>
      <vt:lpstr>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usuario</cp:lastModifiedBy>
  <dcterms:created xsi:type="dcterms:W3CDTF">2017-03-07T20:29:01Z</dcterms:created>
  <dcterms:modified xsi:type="dcterms:W3CDTF">2026-03-01T19:56:37Z</dcterms:modified>
</cp:coreProperties>
</file>