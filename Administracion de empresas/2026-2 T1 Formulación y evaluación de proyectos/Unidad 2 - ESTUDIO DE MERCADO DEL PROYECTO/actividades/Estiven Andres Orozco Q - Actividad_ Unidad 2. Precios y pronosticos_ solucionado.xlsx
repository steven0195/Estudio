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Estudio\Administracion de empresas\2026-2 T1 Formulación y evaluación de proyectos\Unidad 2 - ESTUDIO DE MERCADO DEL PROYECTO\actividades\"/>
    </mc:Choice>
  </mc:AlternateContent>
  <xr:revisionPtr revIDLastSave="0" documentId="13_ncr:1_{E04928D8-A7CE-43C6-B541-7DD6E1D5893F}" xr6:coauthVersionLast="47" xr6:coauthVersionMax="47" xr10:uidLastSave="{00000000-0000-0000-0000-000000000000}"/>
  <bookViews>
    <workbookView xWindow="-105" yWindow="14040" windowWidth="16410" windowHeight="14145" xr2:uid="{558ECB39-F41B-489B-9FC7-353F6A60CBB3}"/>
  </bookViews>
  <sheets>
    <sheet name="Presentacion" sheetId="4" r:id="rId1"/>
    <sheet name="Punto1 - Precio de venta" sheetId="1" r:id="rId2"/>
    <sheet name="Punto 2 - pronostico de ventas" sheetId="2" r:id="rId3"/>
    <sheet name="Respuestas 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7" i="3" l="1"/>
  <c r="C55" i="3"/>
  <c r="C54" i="3"/>
  <c r="C53" i="3"/>
  <c r="C52" i="3"/>
  <c r="C51" i="3"/>
  <c r="E33" i="3"/>
  <c r="E34" i="3"/>
  <c r="E35" i="3"/>
  <c r="E32" i="3"/>
  <c r="D32" i="3"/>
  <c r="D33" i="3"/>
  <c r="D34" i="3"/>
  <c r="D35" i="3"/>
  <c r="C35" i="3"/>
  <c r="C34" i="3"/>
  <c r="C33" i="3"/>
  <c r="C32" i="3"/>
  <c r="B25" i="3"/>
  <c r="B19" i="3"/>
  <c r="B14" i="3"/>
  <c r="B9" i="3"/>
  <c r="B4" i="3"/>
  <c r="B27" i="3"/>
  <c r="B21" i="3"/>
  <c r="B16" i="3"/>
  <c r="B11" i="3"/>
  <c r="B6" i="3"/>
  <c r="B26" i="3"/>
  <c r="B20" i="3"/>
  <c r="B15" i="3"/>
  <c r="B10" i="3"/>
  <c r="B5" i="3"/>
  <c r="B14" i="2"/>
  <c r="B15" i="2" s="1"/>
  <c r="C15" i="1"/>
  <c r="D15" i="1"/>
  <c r="E15" i="1"/>
  <c r="F15" i="1"/>
  <c r="B15" i="1"/>
  <c r="C8" i="1"/>
  <c r="C9" i="1" s="1"/>
  <c r="C14" i="1" s="1"/>
  <c r="D8" i="1"/>
  <c r="D9" i="1" s="1"/>
  <c r="D14" i="1" s="1"/>
  <c r="D16" i="1" s="1"/>
  <c r="E8" i="1"/>
  <c r="E9" i="1" s="1"/>
  <c r="E14" i="1" s="1"/>
  <c r="F8" i="1"/>
  <c r="F9" i="1" s="1"/>
  <c r="F14" i="1" s="1"/>
  <c r="B8" i="1"/>
  <c r="B9" i="1" s="1"/>
  <c r="B14" i="1" s="1"/>
  <c r="B16" i="1" s="1"/>
  <c r="C14" i="2" l="1"/>
  <c r="C15" i="2" s="1"/>
  <c r="B16" i="2"/>
  <c r="B17" i="2" s="1"/>
  <c r="E17" i="1"/>
  <c r="D17" i="1"/>
  <c r="B17" i="1"/>
  <c r="F17" i="1"/>
  <c r="C17" i="1"/>
  <c r="F16" i="1"/>
  <c r="F18" i="1"/>
  <c r="E18" i="1"/>
  <c r="E16" i="1"/>
  <c r="E19" i="1" s="1"/>
  <c r="E21" i="1" s="1"/>
  <c r="C16" i="1"/>
  <c r="C18" i="1"/>
  <c r="B18" i="1"/>
  <c r="B19" i="1" s="1"/>
  <c r="B21" i="1" s="1"/>
  <c r="D18" i="1"/>
  <c r="D19" i="1" s="1"/>
  <c r="D21" i="1" s="1"/>
  <c r="C16" i="2" l="1"/>
  <c r="C17" i="2" s="1"/>
  <c r="B18" i="2"/>
  <c r="B19" i="2"/>
  <c r="B20" i="2" s="1"/>
  <c r="F19" i="1"/>
  <c r="F21" i="1" s="1"/>
  <c r="C19" i="1"/>
  <c r="C21" i="1" s="1"/>
  <c r="B21" i="2" l="1"/>
  <c r="B22" i="2"/>
  <c r="B23" i="2" s="1"/>
  <c r="B24" i="2" s="1"/>
  <c r="B25" i="2" s="1"/>
  <c r="D14" i="2" s="1"/>
  <c r="B27" i="2"/>
  <c r="C18" i="2"/>
  <c r="C19" i="2" s="1"/>
  <c r="C20" i="2" s="1"/>
  <c r="C21" i="2" s="1"/>
  <c r="C22" i="2" s="1"/>
  <c r="C23" i="2" s="1"/>
  <c r="C24" i="2" s="1"/>
  <c r="C25" i="2" s="1"/>
  <c r="E14" i="2" l="1"/>
  <c r="D15" i="2"/>
  <c r="D16" i="2"/>
  <c r="D17" i="2" s="1"/>
  <c r="E15" i="2" l="1"/>
  <c r="E16" i="2" s="1"/>
  <c r="E17" i="2" s="1"/>
  <c r="D18" i="2"/>
  <c r="D19" i="2"/>
  <c r="D20" i="2" s="1"/>
  <c r="D21" i="2" l="1"/>
  <c r="D22" i="2"/>
  <c r="D23" i="2" s="1"/>
  <c r="D24" i="2" s="1"/>
  <c r="D25" i="2" s="1"/>
  <c r="F14" i="2" s="1"/>
  <c r="E18" i="2"/>
  <c r="E19" i="2" s="1"/>
  <c r="E20" i="2" s="1"/>
  <c r="D27" i="2" l="1"/>
  <c r="E21" i="2"/>
  <c r="E22" i="2" s="1"/>
  <c r="E23" i="2" s="1"/>
  <c r="E24" i="2" s="1"/>
  <c r="E25" i="2" s="1"/>
  <c r="F16" i="2"/>
  <c r="F17" i="2" s="1"/>
  <c r="F15" i="2"/>
  <c r="G14" i="2"/>
  <c r="G15" i="2" s="1"/>
  <c r="G16" i="2" s="1"/>
  <c r="G17" i="2" s="1"/>
  <c r="F18" i="2" l="1"/>
  <c r="F19" i="2"/>
  <c r="F20" i="2" s="1"/>
  <c r="F22" i="2" l="1"/>
  <c r="F23" i="2" s="1"/>
  <c r="F24" i="2" s="1"/>
  <c r="F21" i="2"/>
  <c r="G18" i="2"/>
  <c r="G19" i="2" s="1"/>
  <c r="G20" i="2" s="1"/>
  <c r="G21" i="2" s="1"/>
  <c r="G22" i="2" s="1"/>
  <c r="G23" i="2" s="1"/>
  <c r="G24" i="2" s="1"/>
  <c r="F25" i="2" l="1"/>
  <c r="F27" i="2" s="1"/>
  <c r="H14" i="2"/>
  <c r="H15" i="2" l="1"/>
  <c r="H16" i="2"/>
  <c r="H17" i="2" s="1"/>
  <c r="I14" i="2"/>
  <c r="I15" i="2" s="1"/>
  <c r="I16" i="2" s="1"/>
  <c r="I17" i="2" s="1"/>
  <c r="G25" i="2"/>
  <c r="H19" i="2" l="1"/>
  <c r="H20" i="2" s="1"/>
  <c r="H18" i="2"/>
  <c r="H21" i="2" l="1"/>
  <c r="H22" i="2"/>
  <c r="H23" i="2" s="1"/>
  <c r="H24" i="2" s="1"/>
  <c r="H25" i="2" s="1"/>
  <c r="J14" i="2" s="1"/>
  <c r="I18" i="2"/>
  <c r="I19" i="2" s="1"/>
  <c r="I20" i="2" s="1"/>
  <c r="I21" i="2" l="1"/>
  <c r="I22" i="2" s="1"/>
  <c r="I23" i="2" s="1"/>
  <c r="I24" i="2" s="1"/>
  <c r="I25" i="2" s="1"/>
  <c r="K14" i="2"/>
  <c r="J15" i="2"/>
  <c r="J16" i="2"/>
  <c r="J17" i="2" s="1"/>
  <c r="H27" i="2"/>
  <c r="J19" i="2" l="1"/>
  <c r="J20" i="2" s="1"/>
  <c r="J18" i="2"/>
  <c r="K15" i="2"/>
  <c r="K16" i="2" s="1"/>
  <c r="K17" i="2" s="1"/>
  <c r="K18" i="2" s="1"/>
  <c r="K19" i="2" s="1"/>
  <c r="K20" i="2" s="1"/>
  <c r="J21" i="2" l="1"/>
  <c r="K21" i="2" s="1"/>
  <c r="J22" i="2"/>
  <c r="J23" i="2" s="1"/>
  <c r="J24" i="2" s="1"/>
  <c r="J25" i="2" s="1"/>
  <c r="J27" i="2" s="1"/>
  <c r="B28" i="2" s="1"/>
  <c r="K22" i="2" l="1"/>
  <c r="K23" i="2" s="1"/>
  <c r="K24" i="2" s="1"/>
  <c r="K25" i="2" s="1"/>
</calcChain>
</file>

<file path=xl/sharedStrings.xml><?xml version="1.0" encoding="utf-8"?>
<sst xmlns="http://schemas.openxmlformats.org/spreadsheetml/2006/main" count="106" uniqueCount="93">
  <si>
    <t>Concepto</t>
  </si>
  <si>
    <t>Unidades a vender</t>
  </si>
  <si>
    <t>Costo unitario</t>
  </si>
  <si>
    <t>Margen esperado por el inversionista</t>
  </si>
  <si>
    <t>Inflacion esperada</t>
  </si>
  <si>
    <t>Gastos fijos totales</t>
  </si>
  <si>
    <t>Gasto Unitario (Gastos fijos/Unidades)</t>
  </si>
  <si>
    <t>Propuesta inicial</t>
  </si>
  <si>
    <t>Precio de venta</t>
  </si>
  <si>
    <t>Resultados del proyecto</t>
  </si>
  <si>
    <t>Ventas netas</t>
  </si>
  <si>
    <t>Alternativa A</t>
  </si>
  <si>
    <t>Alternativa B</t>
  </si>
  <si>
    <t>Alternativa C</t>
  </si>
  <si>
    <t>Alternativa D</t>
  </si>
  <si>
    <t>Utilidad bruta</t>
  </si>
  <si>
    <t>Utilidad neta</t>
  </si>
  <si>
    <t>Costo de la mercancia vendida</t>
  </si>
  <si>
    <t>gastos</t>
  </si>
  <si>
    <t>inflacion</t>
  </si>
  <si>
    <t>Margen neto</t>
  </si>
  <si>
    <t>PARAMETROS DEL PRONOSTICO</t>
  </si>
  <si>
    <t>Ventas base cada mes 1er trimestre 2021 ($)</t>
  </si>
  <si>
    <t>2do trimestre: variacion vs trim. anterior</t>
  </si>
  <si>
    <t>3er trimestre: variacion vs trim. anterior</t>
  </si>
  <si>
    <t>Octubre y noviembre: variacion vs trim. anterior</t>
  </si>
  <si>
    <t>Diciembre: variacion vs noviembre</t>
  </si>
  <si>
    <t>Inicio 2022: variacion vs diciembre 2021</t>
  </si>
  <si>
    <t>Inicio 2023: variacion vs diciembre 2022</t>
  </si>
  <si>
    <t>Inicio 2024: variacion vs noviembre 2023</t>
  </si>
  <si>
    <t>Inicio 2025: variacion vs diciembre 2024</t>
  </si>
  <si>
    <t>MES</t>
  </si>
  <si>
    <t>2021 Proyeccion</t>
  </si>
  <si>
    <t>2021 Acumulado</t>
  </si>
  <si>
    <t>2022 Proyeccion</t>
  </si>
  <si>
    <t>2022 Acumulado</t>
  </si>
  <si>
    <t>2023 Proyeccion</t>
  </si>
  <si>
    <t>2023 Acumulado</t>
  </si>
  <si>
    <t>2024 Proyeccion</t>
  </si>
  <si>
    <t>2024 Acumulado</t>
  </si>
  <si>
    <t>2025 Proyeccion</t>
  </si>
  <si>
    <t>2025 Acumulado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</si>
  <si>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</si>
  <si>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</si>
  <si>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</si>
  <si>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</si>
  <si>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</si>
  <si>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</si>
  <si>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</si>
  <si>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</si>
  <si>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</si>
  <si>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</si>
  <si>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</si>
  <si>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</si>
  <si>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</si>
  <si>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Pronostico de ventas total 2021-2025</t>
  </si>
  <si>
    <t>1.a</t>
  </si>
  <si>
    <t>Pregunta</t>
  </si>
  <si>
    <t>Respuesta</t>
  </si>
  <si>
    <t>El proyecto inicial, NO se puede ejecutar.</t>
  </si>
  <si>
    <t>ALTERNATIVA A, se puede ejecutar.</t>
  </si>
  <si>
    <t xml:space="preserve"> NO cumple la condicion 1 ( &lt; $21.400).</t>
  </si>
  <si>
    <t>Cumple la condicion 2 (&gt;= 16,80%).</t>
  </si>
  <si>
    <t>Cumple la condicion 3 (&gt;= $75.000.000).</t>
  </si>
  <si>
    <t>Cumple la condicion 1 ( &lt; $21.400).</t>
  </si>
  <si>
    <t xml:space="preserve">   ALTERNATIVA B, se puede ejecutar.</t>
  </si>
  <si>
    <t xml:space="preserve">   ALTERNATIVA C, se puede ejecutar.</t>
  </si>
  <si>
    <t xml:space="preserve">   ALTERNATIVA D, se puede ejecutar.</t>
  </si>
  <si>
    <t>1.b</t>
  </si>
  <si>
    <t xml:space="preserve">   COMPARACION:</t>
  </si>
  <si>
    <t xml:space="preserve">   SELECCION: la mejor alternativa es la A.</t>
  </si>
  <si>
    <t xml:space="preserve">      Las cuatro cumplen las 3 condiciones. Se elige A porque:</t>
  </si>
  <si>
    <t xml:space="preserve">      - Entrega practicamente la mayor utilidad neta ($98,2 M): solo 0,3% por debajo de la C</t>
  </si>
  <si>
    <t xml:space="preserve">        ($98,6 M) y muy por encima de B ($93,6 M) y D ($94,8 M).</t>
  </si>
  <si>
    <t xml:space="preserve">      - Su precio queda holgado frente al tope (5,5%). La C, que da la utilidad mas alta,</t>
  </si>
  <si>
    <t xml:space="preserve">        queda a solo $63 del limite: cualquier desviacion minima de costo/gasto la vuelve</t>
  </si>
  <si>
    <t xml:space="preserve">        inviable. La A logra casi la misma utilidad sin ese riesgo.</t>
  </si>
  <si>
    <t xml:space="preserve">      - Es la de implementacion mas simple: sube volumen y baja el costo unitario, sin</t>
  </si>
  <si>
    <t xml:space="preserve">        recortar gastos fijos (B, C y D si los recortan).</t>
  </si>
  <si>
    <t xml:space="preserve">      Nota: si el docente pondera solo 'mayor utilidad', la respuesta seria la C, con la</t>
  </si>
  <si>
    <t xml:space="preserve">      salvedad de que su precio queda al limite de la condicion 1.</t>
  </si>
  <si>
    <t xml:space="preserve"> Holgura precio</t>
  </si>
  <si>
    <t xml:space="preserve">      Alternativa</t>
  </si>
  <si>
    <t xml:space="preserve">      A       </t>
  </si>
  <si>
    <t xml:space="preserve">      B</t>
  </si>
  <si>
    <t xml:space="preserve">      C</t>
  </si>
  <si>
    <t xml:space="preserve">      D</t>
  </si>
  <si>
    <t>Pronostico de ventas por año:</t>
  </si>
  <si>
    <t xml:space="preserve">PRONOSTICO DE VENTAS TOTAL DE LOS 5 AÑOS (2021-2025): </t>
  </si>
  <si>
    <t xml:space="preserve">Nombre de la Actividad: </t>
  </si>
  <si>
    <t>Taller sobre los precios,  la demanda potencial y el pronóstico de ventas.</t>
  </si>
  <si>
    <t>Nombre Estudiante:</t>
  </si>
  <si>
    <t>Estiven Andres Orozco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</si>
</sst>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$&quot;\ #,##0"/>
    <numFmt numFmtId="171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959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3" borderId="0" xfId="0" applyFont="1" applyFill="1"/>
    <xf numFmtId="0" fontId="2" fillId="3" borderId="1" xfId="0" applyFont="1" applyFill="1" applyBorder="1"/>
    <xf numFmtId="10" fontId="0" fillId="2" borderId="1" xfId="0" applyNumberFormat="1" applyFill="1" applyBorder="1"/>
    <xf numFmtId="0" fontId="0" fillId="0" borderId="1" xfId="0" applyBorder="1"/>
    <xf numFmtId="0" fontId="3" fillId="4" borderId="0" xfId="0" applyFont="1" applyFill="1"/>
    <xf numFmtId="3" fontId="0" fillId="4" borderId="1" xfId="0" applyNumberFormat="1" applyFill="1" applyBorder="1"/>
    <xf numFmtId="3" fontId="0" fillId="4" borderId="0" xfId="0" applyNumberFormat="1" applyFill="1"/>
    <xf numFmtId="0" fontId="0" fillId="4" borderId="1" xfId="0" applyFill="1" applyBorder="1"/>
    <xf numFmtId="0" fontId="0" fillId="4" borderId="0" xfId="0" applyFill="1"/>
    <xf numFmtId="0" fontId="3" fillId="4" borderId="2" xfId="0" applyFont="1" applyFill="1" applyBorder="1"/>
    <xf numFmtId="0" fontId="0" fillId="4" borderId="3" xfId="0" applyFill="1" applyBorder="1"/>
    <xf numFmtId="0" fontId="0" fillId="4" borderId="2" xfId="0" applyFill="1" applyBorder="1"/>
    <xf numFmtId="0" fontId="2" fillId="3" borderId="4" xfId="0" applyFont="1" applyFill="1" applyBorder="1"/>
    <xf numFmtId="3" fontId="0" fillId="4" borderId="4" xfId="0" applyNumberFormat="1" applyFill="1" applyBorder="1"/>
    <xf numFmtId="10" fontId="0" fillId="2" borderId="4" xfId="0" applyNumberFormat="1" applyFill="1" applyBorder="1"/>
    <xf numFmtId="0" fontId="0" fillId="4" borderId="5" xfId="0" applyFill="1" applyBorder="1"/>
    <xf numFmtId="0" fontId="0" fillId="4" borderId="4" xfId="0" applyFill="1" applyBorder="1"/>
    <xf numFmtId="0" fontId="0" fillId="0" borderId="4" xfId="0" applyBorder="1"/>
    <xf numFmtId="170" fontId="0" fillId="4" borderId="1" xfId="0" applyNumberFormat="1" applyFill="1" applyBorder="1"/>
    <xf numFmtId="0" fontId="0" fillId="0" borderId="2" xfId="0" applyBorder="1"/>
    <xf numFmtId="10" fontId="0" fillId="4" borderId="3" xfId="0" applyNumberFormat="1" applyFill="1" applyBorder="1"/>
    <xf numFmtId="0" fontId="3" fillId="5" borderId="0" xfId="0" applyFont="1" applyFill="1"/>
    <xf numFmtId="10" fontId="0" fillId="5" borderId="1" xfId="0" applyNumberFormat="1" applyFill="1" applyBorder="1"/>
    <xf numFmtId="170" fontId="0" fillId="5" borderId="1" xfId="0" applyNumberFormat="1" applyFill="1" applyBorder="1"/>
    <xf numFmtId="0" fontId="0" fillId="4" borderId="0" xfId="0" applyFill="1" applyBorder="1"/>
    <xf numFmtId="0" fontId="0" fillId="0" borderId="0" xfId="0" applyBorder="1"/>
    <xf numFmtId="3" fontId="0" fillId="4" borderId="2" xfId="0" applyNumberFormat="1" applyFill="1" applyBorder="1"/>
    <xf numFmtId="0" fontId="3" fillId="2" borderId="0" xfId="0" applyFont="1" applyFill="1"/>
    <xf numFmtId="170" fontId="0" fillId="2" borderId="0" xfId="0" applyNumberFormat="1" applyFill="1" applyBorder="1"/>
    <xf numFmtId="10" fontId="4" fillId="2" borderId="0" xfId="0" applyNumberFormat="1" applyFont="1" applyFill="1"/>
    <xf numFmtId="3" fontId="5" fillId="5" borderId="2" xfId="0" applyNumberFormat="1" applyFont="1" applyFill="1" applyBorder="1"/>
    <xf numFmtId="3" fontId="6" fillId="5" borderId="0" xfId="0" applyNumberFormat="1" applyFont="1" applyFill="1"/>
    <xf numFmtId="0" fontId="3" fillId="4" borderId="7" xfId="0" applyFont="1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2" fillId="3" borderId="6" xfId="0" applyFont="1" applyFill="1" applyBorder="1"/>
    <xf numFmtId="0" fontId="3" fillId="4" borderId="1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4" borderId="0" xfId="0" applyFont="1" applyFill="1"/>
    <xf numFmtId="0" fontId="5" fillId="7" borderId="9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4" borderId="14" xfId="0" applyFill="1" applyBorder="1"/>
    <xf numFmtId="0" fontId="0" fillId="4" borderId="8" xfId="0" applyFill="1" applyBorder="1"/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4" borderId="15" xfId="0" applyFill="1" applyBorder="1"/>
    <xf numFmtId="0" fontId="0" fillId="4" borderId="7" xfId="0" applyFill="1" applyBorder="1"/>
    <xf numFmtId="0" fontId="5" fillId="4" borderId="9" xfId="0" applyFont="1" applyFill="1" applyBorder="1"/>
    <xf numFmtId="0" fontId="2" fillId="3" borderId="9" xfId="0" applyFont="1" applyFill="1" applyBorder="1"/>
    <xf numFmtId="0" fontId="2" fillId="3" borderId="0" xfId="0" applyFont="1" applyFill="1" applyBorder="1"/>
    <xf numFmtId="0" fontId="0" fillId="8" borderId="0" xfId="0" applyFill="1" applyBorder="1"/>
    <xf numFmtId="0" fontId="0" fillId="9" borderId="0" xfId="0" applyFill="1" applyBorder="1"/>
    <xf numFmtId="171" fontId="0" fillId="8" borderId="1" xfId="1" applyNumberFormat="1" applyFont="1" applyFill="1" applyBorder="1"/>
    <xf numFmtId="0" fontId="0" fillId="7" borderId="0" xfId="0" applyFill="1" applyBorder="1"/>
    <xf numFmtId="0" fontId="0" fillId="6" borderId="0" xfId="0" applyFill="1" applyBorder="1"/>
    <xf numFmtId="171" fontId="0" fillId="7" borderId="1" xfId="1" applyNumberFormat="1" applyFont="1" applyFill="1" applyBorder="1"/>
    <xf numFmtId="171" fontId="0" fillId="6" borderId="1" xfId="1" applyNumberFormat="1" applyFont="1" applyFill="1" applyBorder="1"/>
    <xf numFmtId="171" fontId="0" fillId="9" borderId="1" xfId="1" applyNumberFormat="1" applyFont="1" applyFill="1" applyBorder="1"/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0" fontId="7" fillId="10" borderId="0" xfId="0" applyFont="1" applyFill="1" applyAlignment="1">
      <alignment vertical="center" wrapText="1"/>
    </xf>
    <xf numFmtId="0" fontId="2" fillId="10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D9595"/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D609-9ECA-41AC-BF89-F1CB25295B68}">
  <dimension ref="A1:AK135"/>
  <sheetViews>
    <sheetView tabSelected="1" workbookViewId="0">
      <selection activeCell="B30" sqref="B30"/>
    </sheetView>
  </sheetViews>
  <sheetFormatPr baseColWidth="10" defaultRowHeight="15" x14ac:dyDescent="0.25"/>
  <cols>
    <col min="1" max="1" width="27.42578125" customWidth="1"/>
    <col min="2" max="2" width="96.5703125" customWidth="1"/>
  </cols>
  <sheetData>
    <row r="1" spans="1:37" ht="15" customHeight="1" x14ac:dyDescent="0.25">
      <c r="A1" s="70" t="s">
        <v>89</v>
      </c>
      <c r="B1" s="9" t="s">
        <v>90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25">
      <c r="A2" s="71" t="s">
        <v>91</v>
      </c>
      <c r="B2" s="9" t="s">
        <v>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1:37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1:37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1:37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1:37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1:37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37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37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1:37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1:37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1:37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37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1:37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1:37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1:37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1:37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1:37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1:37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1:37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1:37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37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1:37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1:37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1:37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1:37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1:37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1:37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1:37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1:37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1:37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1:37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1:37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1:37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1:37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1:37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1:37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1:37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1:37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1:37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1:37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1:37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1:37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1:37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1:37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1:37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1:37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1:37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1:37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1:37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1:37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1:37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1:37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1:37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1:37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1:37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1:37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1:37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1:37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1:37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1:37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1:37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1:37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1:37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1:37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1:37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1:37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1:37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1:37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1:37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1:37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1:37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1:37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1:37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1:37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1:37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1:37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1:37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1:37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1:37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1:37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1:37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1:37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1:37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1:37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37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1:37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1:37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  <row r="134" spans="1:37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</row>
    <row r="135" spans="1:37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7AD3-1D15-4016-BEB4-C23583A2777B}">
  <dimension ref="A1:U187"/>
  <sheetViews>
    <sheetView workbookViewId="0">
      <selection activeCell="C23" sqref="C23"/>
    </sheetView>
  </sheetViews>
  <sheetFormatPr baseColWidth="10" defaultRowHeight="15" x14ac:dyDescent="0.25"/>
  <cols>
    <col min="1" max="1" width="35.7109375" bestFit="1" customWidth="1"/>
    <col min="2" max="2" width="23.7109375" style="4" customWidth="1"/>
    <col min="3" max="3" width="15.28515625" style="18" customWidth="1"/>
    <col min="4" max="4" width="14.85546875" style="18" customWidth="1"/>
    <col min="5" max="5" width="15.42578125" style="18" customWidth="1"/>
    <col min="6" max="6" width="16.28515625" style="18" customWidth="1"/>
    <col min="7" max="21" width="11.42578125" style="9"/>
  </cols>
  <sheetData>
    <row r="1" spans="1:6" x14ac:dyDescent="0.25">
      <c r="A1" s="1" t="s">
        <v>0</v>
      </c>
      <c r="B1" s="2" t="s">
        <v>7</v>
      </c>
      <c r="C1" s="13" t="s">
        <v>11</v>
      </c>
      <c r="D1" s="13" t="s">
        <v>12</v>
      </c>
      <c r="E1" s="13" t="s">
        <v>13</v>
      </c>
      <c r="F1" s="13" t="s">
        <v>14</v>
      </c>
    </row>
    <row r="2" spans="1:6" x14ac:dyDescent="0.25">
      <c r="A2" s="5" t="s">
        <v>1</v>
      </c>
      <c r="B2" s="6">
        <v>22450</v>
      </c>
      <c r="C2" s="6">
        <v>28900</v>
      </c>
      <c r="D2" s="6">
        <v>28800</v>
      </c>
      <c r="E2" s="6">
        <v>27500</v>
      </c>
      <c r="F2" s="6">
        <v>28400</v>
      </c>
    </row>
    <row r="3" spans="1:6" x14ac:dyDescent="0.25">
      <c r="A3" s="5" t="s">
        <v>2</v>
      </c>
      <c r="B3" s="19">
        <v>15350</v>
      </c>
      <c r="C3" s="19">
        <v>14380</v>
      </c>
      <c r="D3" s="19">
        <v>14050</v>
      </c>
      <c r="E3" s="19">
        <v>15350</v>
      </c>
      <c r="F3" s="19">
        <v>14400</v>
      </c>
    </row>
    <row r="4" spans="1:6" x14ac:dyDescent="0.25">
      <c r="A4" s="5" t="s">
        <v>3</v>
      </c>
      <c r="B4" s="3">
        <v>0.16800000000000001</v>
      </c>
      <c r="C4" s="15">
        <v>0.16800000000000001</v>
      </c>
      <c r="D4" s="15">
        <v>0.16800000000000001</v>
      </c>
      <c r="E4" s="15">
        <v>0.16800000000000001</v>
      </c>
      <c r="F4" s="15">
        <v>0.16800000000000001</v>
      </c>
    </row>
    <row r="5" spans="1:6" x14ac:dyDescent="0.25">
      <c r="A5" s="5" t="s">
        <v>4</v>
      </c>
      <c r="B5" s="3">
        <v>7.0000000000000007E-2</v>
      </c>
      <c r="C5" s="15">
        <v>7.0000000000000007E-2</v>
      </c>
      <c r="D5" s="15">
        <v>7.0000000000000007E-2</v>
      </c>
      <c r="E5" s="15">
        <v>7.0000000000000007E-2</v>
      </c>
      <c r="F5" s="15">
        <v>7.0000000000000007E-2</v>
      </c>
    </row>
    <row r="6" spans="1:6" x14ac:dyDescent="0.25">
      <c r="A6" s="5" t="s">
        <v>5</v>
      </c>
      <c r="B6" s="19">
        <v>30000000</v>
      </c>
      <c r="C6" s="19">
        <v>30000000</v>
      </c>
      <c r="D6" s="19">
        <v>20000000</v>
      </c>
      <c r="E6" s="19">
        <v>25000000</v>
      </c>
      <c r="F6" s="19">
        <v>21000000</v>
      </c>
    </row>
    <row r="7" spans="1:6" ht="15.75" thickBot="1" x14ac:dyDescent="0.3">
      <c r="A7" s="10"/>
      <c r="B7" s="11"/>
      <c r="C7" s="16"/>
      <c r="D7" s="16"/>
      <c r="E7" s="16"/>
      <c r="F7" s="16"/>
    </row>
    <row r="8" spans="1:6" ht="15.75" thickTop="1" x14ac:dyDescent="0.25">
      <c r="A8" s="5" t="s">
        <v>6</v>
      </c>
      <c r="B8" s="6">
        <f>B6/B2</f>
        <v>1336.3028953229398</v>
      </c>
      <c r="C8" s="14">
        <f t="shared" ref="C8:F8" si="0">C6/C2</f>
        <v>1038.0622837370242</v>
      </c>
      <c r="D8" s="14">
        <f t="shared" si="0"/>
        <v>694.44444444444446</v>
      </c>
      <c r="E8" s="14">
        <f t="shared" si="0"/>
        <v>909.09090909090912</v>
      </c>
      <c r="F8" s="14">
        <f t="shared" si="0"/>
        <v>739.43661971830988</v>
      </c>
    </row>
    <row r="9" spans="1:6" ht="14.25" customHeight="1" x14ac:dyDescent="0.25">
      <c r="A9" s="22" t="s">
        <v>8</v>
      </c>
      <c r="B9" s="24">
        <f>(B3+B8)/(1-B5-B4)</f>
        <v>21898.035295699399</v>
      </c>
      <c r="C9" s="24">
        <f t="shared" ref="C9:F9" si="1">(C3+C8)/(1-C5-C4)</f>
        <v>20233.677537712632</v>
      </c>
      <c r="D9" s="24">
        <f t="shared" si="1"/>
        <v>19349.66462525518</v>
      </c>
      <c r="E9" s="24">
        <f t="shared" si="1"/>
        <v>21337.389644476261</v>
      </c>
      <c r="F9" s="24">
        <f t="shared" si="1"/>
        <v>19868.027059997785</v>
      </c>
    </row>
    <row r="10" spans="1:6" ht="14.25" customHeight="1" x14ac:dyDescent="0.25">
      <c r="A10" s="9"/>
      <c r="B10" s="8"/>
      <c r="C10" s="17"/>
      <c r="D10" s="17"/>
      <c r="E10" s="17"/>
      <c r="F10" s="17"/>
    </row>
    <row r="11" spans="1:6" ht="14.25" customHeight="1" x14ac:dyDescent="0.25">
      <c r="A11" s="9"/>
      <c r="B11" s="8"/>
      <c r="C11" s="17"/>
      <c r="D11" s="17"/>
      <c r="E11" s="17"/>
      <c r="F11" s="17"/>
    </row>
    <row r="12" spans="1:6" x14ac:dyDescent="0.25">
      <c r="A12" s="9"/>
      <c r="B12" s="8"/>
      <c r="C12" s="17"/>
      <c r="D12" s="17"/>
      <c r="E12" s="17"/>
      <c r="F12" s="17"/>
    </row>
    <row r="13" spans="1:6" x14ac:dyDescent="0.25">
      <c r="A13" s="1" t="s">
        <v>9</v>
      </c>
      <c r="B13" s="2"/>
      <c r="C13" s="13"/>
      <c r="D13" s="13"/>
      <c r="E13" s="13"/>
      <c r="F13" s="13"/>
    </row>
    <row r="14" spans="1:6" x14ac:dyDescent="0.25">
      <c r="A14" s="5" t="s">
        <v>10</v>
      </c>
      <c r="B14" s="19">
        <f>B2*B9</f>
        <v>491610892.38845152</v>
      </c>
      <c r="C14" s="19">
        <f t="shared" ref="C14:F14" si="2">C2*C9</f>
        <v>584753280.83989513</v>
      </c>
      <c r="D14" s="19">
        <f t="shared" si="2"/>
        <v>557270341.20734918</v>
      </c>
      <c r="E14" s="19">
        <f t="shared" si="2"/>
        <v>586778215.22309721</v>
      </c>
      <c r="F14" s="19">
        <f t="shared" si="2"/>
        <v>564251968.50393713</v>
      </c>
    </row>
    <row r="15" spans="1:6" x14ac:dyDescent="0.25">
      <c r="A15" s="5" t="s">
        <v>17</v>
      </c>
      <c r="B15" s="19">
        <f>-B2*B3</f>
        <v>-344607500</v>
      </c>
      <c r="C15" s="19">
        <f t="shared" ref="C15:F15" si="3">-C2*C3</f>
        <v>-415582000</v>
      </c>
      <c r="D15" s="19">
        <f t="shared" si="3"/>
        <v>-404640000</v>
      </c>
      <c r="E15" s="19">
        <f t="shared" si="3"/>
        <v>-422125000</v>
      </c>
      <c r="F15" s="19">
        <f t="shared" si="3"/>
        <v>-408960000</v>
      </c>
    </row>
    <row r="16" spans="1:6" x14ac:dyDescent="0.25">
      <c r="A16" s="5" t="s">
        <v>15</v>
      </c>
      <c r="B16" s="19">
        <f>B14+B15</f>
        <v>147003392.38845152</v>
      </c>
      <c r="C16" s="19">
        <f t="shared" ref="C16:F16" si="4">C14+C15</f>
        <v>169171280.83989513</v>
      </c>
      <c r="D16" s="19">
        <f t="shared" si="4"/>
        <v>152630341.20734918</v>
      </c>
      <c r="E16" s="19">
        <f t="shared" si="4"/>
        <v>164653215.22309721</v>
      </c>
      <c r="F16" s="19">
        <f t="shared" si="4"/>
        <v>155291968.50393713</v>
      </c>
    </row>
    <row r="17" spans="1:21" x14ac:dyDescent="0.25">
      <c r="A17" s="5" t="s">
        <v>18</v>
      </c>
      <c r="B17" s="19">
        <f>-B2*B8</f>
        <v>-29999999.999999996</v>
      </c>
      <c r="C17" s="19">
        <f t="shared" ref="C17:F17" si="5">-C2*C8</f>
        <v>-30000000</v>
      </c>
      <c r="D17" s="19">
        <f t="shared" si="5"/>
        <v>-20000000</v>
      </c>
      <c r="E17" s="19">
        <f t="shared" si="5"/>
        <v>-25000000</v>
      </c>
      <c r="F17" s="19">
        <f t="shared" si="5"/>
        <v>-21000000</v>
      </c>
    </row>
    <row r="18" spans="1:21" x14ac:dyDescent="0.25">
      <c r="A18" s="5" t="s">
        <v>19</v>
      </c>
      <c r="B18" s="19">
        <f>-B14*B5</f>
        <v>-34412762.467191607</v>
      </c>
      <c r="C18" s="19">
        <f t="shared" ref="C18:F18" si="6">-C14*C5</f>
        <v>-40932729.65879266</v>
      </c>
      <c r="D18" s="19">
        <f t="shared" si="6"/>
        <v>-39008923.884514444</v>
      </c>
      <c r="E18" s="19">
        <f t="shared" si="6"/>
        <v>-41074475.065616809</v>
      </c>
      <c r="F18" s="19">
        <f t="shared" si="6"/>
        <v>-39497637.795275606</v>
      </c>
    </row>
    <row r="19" spans="1:21" x14ac:dyDescent="0.25">
      <c r="A19" s="22" t="s">
        <v>16</v>
      </c>
      <c r="B19" s="24">
        <f>B16+B17+B18</f>
        <v>82590629.92125991</v>
      </c>
      <c r="C19" s="24">
        <f t="shared" ref="C19:F19" si="7">C16+C17+C18</f>
        <v>98238551.18110247</v>
      </c>
      <c r="D19" s="24">
        <f t="shared" si="7"/>
        <v>93621417.32283473</v>
      </c>
      <c r="E19" s="24">
        <f t="shared" si="7"/>
        <v>98578740.157480389</v>
      </c>
      <c r="F19" s="24">
        <f t="shared" si="7"/>
        <v>94794330.708661526</v>
      </c>
    </row>
    <row r="20" spans="1:21" ht="15.75" thickBot="1" x14ac:dyDescent="0.3">
      <c r="A20" s="20"/>
      <c r="B20" s="21"/>
      <c r="C20" s="21"/>
      <c r="D20" s="21"/>
      <c r="E20" s="21"/>
      <c r="F20" s="21"/>
    </row>
    <row r="21" spans="1:21" ht="15.75" thickTop="1" x14ac:dyDescent="0.25">
      <c r="A21" s="22" t="s">
        <v>20</v>
      </c>
      <c r="B21" s="23">
        <f>B19/B14</f>
        <v>0.16800000000000012</v>
      </c>
      <c r="C21" s="23">
        <f t="shared" ref="C21:F21" si="8">C19/C14</f>
        <v>0.16800000000000015</v>
      </c>
      <c r="D21" s="23">
        <f t="shared" si="8"/>
        <v>0.16800000000000012</v>
      </c>
      <c r="E21" s="23">
        <f t="shared" si="8"/>
        <v>0.16800000000000009</v>
      </c>
      <c r="F21" s="23">
        <f t="shared" si="8"/>
        <v>0.16800000000000015</v>
      </c>
    </row>
    <row r="22" spans="1:21" s="26" customForma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1" s="26" customForma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s="26" customForma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s="25" customFormat="1" x14ac:dyDescent="0.25"/>
    <row r="26" spans="1:21" s="25" customFormat="1" x14ac:dyDescent="0.25"/>
    <row r="27" spans="1:21" s="25" customFormat="1" x14ac:dyDescent="0.25"/>
    <row r="28" spans="1:21" s="25" customFormat="1" x14ac:dyDescent="0.25"/>
    <row r="29" spans="1:21" s="25" customFormat="1" x14ac:dyDescent="0.25"/>
    <row r="30" spans="1:21" s="25" customFormat="1" x14ac:dyDescent="0.25"/>
    <row r="31" spans="1:21" s="25" customFormat="1" x14ac:dyDescent="0.25"/>
    <row r="32" spans="1:21" s="25" customFormat="1" x14ac:dyDescent="0.25"/>
    <row r="33" s="25" customFormat="1" x14ac:dyDescent="0.25"/>
    <row r="34" s="25" customFormat="1" x14ac:dyDescent="0.25"/>
    <row r="35" s="25" customFormat="1" x14ac:dyDescent="0.25"/>
    <row r="36" s="25" customFormat="1" x14ac:dyDescent="0.25"/>
    <row r="37" s="25" customFormat="1" x14ac:dyDescent="0.25"/>
    <row r="38" s="25" customFormat="1" x14ac:dyDescent="0.25"/>
    <row r="39" s="25" customFormat="1" x14ac:dyDescent="0.25"/>
    <row r="40" s="25" customFormat="1" x14ac:dyDescent="0.25"/>
    <row r="41" s="25" customFormat="1" x14ac:dyDescent="0.25"/>
    <row r="42" s="25" customFormat="1" x14ac:dyDescent="0.25"/>
    <row r="43" s="25" customFormat="1" x14ac:dyDescent="0.25"/>
    <row r="44" s="25" customFormat="1" x14ac:dyDescent="0.25"/>
    <row r="45" s="25" customFormat="1" x14ac:dyDescent="0.25"/>
    <row r="46" s="25" customFormat="1" x14ac:dyDescent="0.25"/>
    <row r="47" s="25" customFormat="1" x14ac:dyDescent="0.25"/>
    <row r="48" s="25" customFormat="1" x14ac:dyDescent="0.25"/>
    <row r="49" s="25" customFormat="1" x14ac:dyDescent="0.25"/>
    <row r="50" s="25" customFormat="1" x14ac:dyDescent="0.25"/>
    <row r="51" s="25" customFormat="1" x14ac:dyDescent="0.25"/>
    <row r="52" s="25" customFormat="1" x14ac:dyDescent="0.25"/>
    <row r="53" s="25" customFormat="1" x14ac:dyDescent="0.25"/>
    <row r="54" s="25" customFormat="1" x14ac:dyDescent="0.25"/>
    <row r="55" s="25" customFormat="1" x14ac:dyDescent="0.25"/>
    <row r="56" s="25" customFormat="1" x14ac:dyDescent="0.25"/>
    <row r="57" s="25" customFormat="1" x14ac:dyDescent="0.25"/>
    <row r="58" s="25" customFormat="1" x14ac:dyDescent="0.25"/>
    <row r="59" s="25" customFormat="1" x14ac:dyDescent="0.25"/>
    <row r="60" s="25" customFormat="1" x14ac:dyDescent="0.25"/>
    <row r="61" s="25" customFormat="1" x14ac:dyDescent="0.25"/>
    <row r="62" s="25" customFormat="1" x14ac:dyDescent="0.25"/>
    <row r="63" s="25" customFormat="1" x14ac:dyDescent="0.25"/>
    <row r="64" s="25" customFormat="1" x14ac:dyDescent="0.25"/>
    <row r="65" spans="7:21" s="25" customFormat="1" x14ac:dyDescent="0.25"/>
    <row r="66" spans="7:21" s="26" customFormat="1" x14ac:dyDescent="0.25"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7:21" s="26" customFormat="1" x14ac:dyDescent="0.25"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</row>
    <row r="68" spans="7:21" s="26" customFormat="1" x14ac:dyDescent="0.25"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</row>
    <row r="69" spans="7:21" s="26" customFormat="1" x14ac:dyDescent="0.25"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7:21" s="26" customFormat="1" x14ac:dyDescent="0.25"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</row>
    <row r="71" spans="7:21" s="26" customFormat="1" x14ac:dyDescent="0.25"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</row>
    <row r="72" spans="7:21" s="26" customFormat="1" x14ac:dyDescent="0.25"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</row>
    <row r="73" spans="7:21" s="26" customFormat="1" x14ac:dyDescent="0.25"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</row>
    <row r="74" spans="7:21" s="26" customFormat="1" x14ac:dyDescent="0.25"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</row>
    <row r="75" spans="7:21" s="26" customFormat="1" x14ac:dyDescent="0.25"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</row>
    <row r="76" spans="7:21" s="26" customFormat="1" x14ac:dyDescent="0.25"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</row>
    <row r="77" spans="7:21" s="26" customFormat="1" x14ac:dyDescent="0.25"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7:21" s="26" customFormat="1" x14ac:dyDescent="0.25"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7:21" s="26" customFormat="1" x14ac:dyDescent="0.25"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7:21" s="26" customFormat="1" x14ac:dyDescent="0.25"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7:21" s="26" customFormat="1" x14ac:dyDescent="0.25"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7:21" s="26" customFormat="1" x14ac:dyDescent="0.25"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</row>
    <row r="83" spans="7:21" s="26" customFormat="1" x14ac:dyDescent="0.25"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 spans="7:21" s="26" customFormat="1" x14ac:dyDescent="0.25"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 spans="7:21" s="26" customFormat="1" x14ac:dyDescent="0.25"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 spans="7:21" s="26" customFormat="1" x14ac:dyDescent="0.25"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 spans="7:21" s="26" customFormat="1" x14ac:dyDescent="0.25"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 spans="7:21" s="26" customFormat="1" x14ac:dyDescent="0.25"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 spans="7:21" s="26" customFormat="1" x14ac:dyDescent="0.25"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spans="7:21" s="26" customFormat="1" x14ac:dyDescent="0.25"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 spans="7:21" s="26" customFormat="1" x14ac:dyDescent="0.25"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 spans="7:21" s="26" customFormat="1" x14ac:dyDescent="0.25"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 spans="7:21" s="26" customFormat="1" x14ac:dyDescent="0.25"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 spans="7:21" s="26" customFormat="1" x14ac:dyDescent="0.25"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 spans="7:21" s="26" customFormat="1" x14ac:dyDescent="0.25"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 spans="7:21" s="26" customFormat="1" x14ac:dyDescent="0.25"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 spans="7:21" s="26" customFormat="1" x14ac:dyDescent="0.25"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 spans="7:21" s="26" customFormat="1" x14ac:dyDescent="0.25"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 spans="7:21" s="26" customFormat="1" x14ac:dyDescent="0.25"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 spans="7:21" s="26" customFormat="1" x14ac:dyDescent="0.25"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 spans="7:21" s="26" customFormat="1" x14ac:dyDescent="0.25"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 spans="7:21" s="26" customFormat="1" x14ac:dyDescent="0.25"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 spans="7:21" s="26" customFormat="1" x14ac:dyDescent="0.25"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spans="7:21" s="26" customFormat="1" x14ac:dyDescent="0.25"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 spans="7:21" s="26" customFormat="1" x14ac:dyDescent="0.25"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 spans="7:21" s="26" customFormat="1" x14ac:dyDescent="0.25"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7:21" s="26" customFormat="1" x14ac:dyDescent="0.25"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7:21" s="26" customFormat="1" x14ac:dyDescent="0.25"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 spans="7:21" s="26" customFormat="1" x14ac:dyDescent="0.25"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 spans="7:21" s="26" customFormat="1" x14ac:dyDescent="0.25"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 spans="7:21" s="26" customFormat="1" x14ac:dyDescent="0.25"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 spans="7:21" s="26" customFormat="1" x14ac:dyDescent="0.25"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 spans="7:21" s="26" customFormat="1" x14ac:dyDescent="0.25"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 spans="7:21" s="26" customFormat="1" x14ac:dyDescent="0.25"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 spans="7:21" s="26" customFormat="1" x14ac:dyDescent="0.25"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 spans="7:21" s="26" customFormat="1" x14ac:dyDescent="0.25"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 spans="7:21" s="26" customFormat="1" x14ac:dyDescent="0.25"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 spans="7:21" s="26" customFormat="1" x14ac:dyDescent="0.25"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 spans="7:21" s="26" customFormat="1" x14ac:dyDescent="0.25"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 spans="7:21" s="26" customFormat="1" x14ac:dyDescent="0.25"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 spans="7:21" s="26" customFormat="1" x14ac:dyDescent="0.25"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 spans="7:21" s="26" customFormat="1" x14ac:dyDescent="0.25"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 spans="7:21" s="26" customFormat="1" x14ac:dyDescent="0.25"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 spans="7:21" s="26" customFormat="1" x14ac:dyDescent="0.25"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 spans="7:21" s="26" customFormat="1" x14ac:dyDescent="0.25"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 spans="7:21" s="26" customFormat="1" x14ac:dyDescent="0.25"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7:21" s="26" customFormat="1" x14ac:dyDescent="0.25"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 spans="7:21" s="26" customFormat="1" x14ac:dyDescent="0.25"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 spans="7:21" s="26" customFormat="1" x14ac:dyDescent="0.25"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 spans="7:21" s="26" customFormat="1" x14ac:dyDescent="0.25"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 spans="7:21" s="26" customFormat="1" x14ac:dyDescent="0.25"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7:21" s="26" customFormat="1" x14ac:dyDescent="0.25"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 spans="7:21" s="26" customFormat="1" x14ac:dyDescent="0.25"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 spans="7:21" s="26" customFormat="1" x14ac:dyDescent="0.25"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7:21" s="26" customFormat="1" x14ac:dyDescent="0.25"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 spans="7:21" s="26" customFormat="1" x14ac:dyDescent="0.25"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7:21" s="26" customFormat="1" x14ac:dyDescent="0.25"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 spans="7:21" s="26" customFormat="1" x14ac:dyDescent="0.25"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7:21" s="26" customFormat="1" x14ac:dyDescent="0.25"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 spans="7:21" s="26" customFormat="1" x14ac:dyDescent="0.25"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 spans="7:21" s="26" customFormat="1" x14ac:dyDescent="0.25"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spans="7:21" s="26" customFormat="1" x14ac:dyDescent="0.25"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 spans="7:21" s="26" customFormat="1" x14ac:dyDescent="0.25"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 spans="7:21" s="26" customFormat="1" x14ac:dyDescent="0.25"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 spans="7:21" s="26" customFormat="1" x14ac:dyDescent="0.25"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 spans="7:21" s="26" customFormat="1" x14ac:dyDescent="0.25"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 spans="7:21" s="26" customFormat="1" x14ac:dyDescent="0.25"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 spans="7:21" s="26" customFormat="1" x14ac:dyDescent="0.25"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 spans="7:21" s="26" customFormat="1" x14ac:dyDescent="0.25"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 spans="7:21" s="26" customFormat="1" x14ac:dyDescent="0.25"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 spans="7:21" s="26" customFormat="1" x14ac:dyDescent="0.25"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 spans="7:21" s="26" customFormat="1" x14ac:dyDescent="0.25"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 spans="7:21" s="26" customFormat="1" x14ac:dyDescent="0.25"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 spans="7:21" s="26" customFormat="1" x14ac:dyDescent="0.25"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 spans="7:21" s="26" customFormat="1" x14ac:dyDescent="0.25"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 spans="7:21" s="26" customFormat="1" x14ac:dyDescent="0.25"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spans="7:21" s="26" customFormat="1" x14ac:dyDescent="0.25"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 spans="7:21" s="26" customFormat="1" x14ac:dyDescent="0.25"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 spans="7:21" s="26" customFormat="1" x14ac:dyDescent="0.25"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 spans="7:21" s="26" customFormat="1" x14ac:dyDescent="0.25"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 spans="7:21" s="26" customFormat="1" x14ac:dyDescent="0.25"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 spans="7:21" s="26" customFormat="1" x14ac:dyDescent="0.25"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 spans="7:21" s="26" customFormat="1" x14ac:dyDescent="0.25"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 spans="7:21" s="26" customFormat="1" x14ac:dyDescent="0.25"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 spans="7:21" s="26" customFormat="1" x14ac:dyDescent="0.25"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 spans="7:21" s="26" customFormat="1" x14ac:dyDescent="0.25"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 spans="7:21" s="26" customFormat="1" x14ac:dyDescent="0.25"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 spans="7:21" s="26" customFormat="1" x14ac:dyDescent="0.25"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 spans="7:21" s="26" customFormat="1" x14ac:dyDescent="0.25"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 spans="7:21" s="26" customFormat="1" x14ac:dyDescent="0.25"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 spans="7:21" s="26" customFormat="1" x14ac:dyDescent="0.25"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 spans="7:21" s="26" customFormat="1" x14ac:dyDescent="0.25"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 spans="7:21" s="26" customFormat="1" x14ac:dyDescent="0.25"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 spans="7:21" s="26" customFormat="1" x14ac:dyDescent="0.25"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 spans="7:21" s="26" customFormat="1" x14ac:dyDescent="0.25"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 spans="7:21" s="26" customFormat="1" x14ac:dyDescent="0.25"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 spans="7:21" s="26" customFormat="1" x14ac:dyDescent="0.25"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 spans="7:21" s="26" customFormat="1" x14ac:dyDescent="0.25"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 spans="7:21" s="26" customFormat="1" x14ac:dyDescent="0.25"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 spans="7:21" s="26" customFormat="1" x14ac:dyDescent="0.25"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7:21" s="26" customFormat="1" x14ac:dyDescent="0.25"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 spans="7:21" s="26" customFormat="1" x14ac:dyDescent="0.25"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 spans="7:21" s="26" customFormat="1" x14ac:dyDescent="0.25"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 spans="7:21" s="26" customFormat="1" x14ac:dyDescent="0.25"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 spans="7:21" s="26" customFormat="1" x14ac:dyDescent="0.25"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 spans="7:21" s="26" customFormat="1" x14ac:dyDescent="0.25"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 spans="7:21" s="26" customFormat="1" x14ac:dyDescent="0.25"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8498-FBFF-41CF-B106-C8216EDDB61E}">
  <dimension ref="A1:K36"/>
  <sheetViews>
    <sheetView workbookViewId="0">
      <selection activeCell="J27" sqref="J27"/>
    </sheetView>
  </sheetViews>
  <sheetFormatPr baseColWidth="10" defaultRowHeight="15" x14ac:dyDescent="0.25"/>
  <cols>
    <col min="1" max="1" width="43.42578125" bestFit="1" customWidth="1"/>
    <col min="2" max="2" width="16.85546875" customWidth="1"/>
    <col min="3" max="11" width="15.42578125" bestFit="1" customWidth="1"/>
  </cols>
  <sheetData>
    <row r="1" spans="1:11" x14ac:dyDescent="0.25">
      <c r="A1" s="1" t="s">
        <v>21</v>
      </c>
      <c r="B1" s="1"/>
    </row>
    <row r="2" spans="1:11" s="9" customFormat="1" x14ac:dyDescent="0.25">
      <c r="A2" s="28" t="s">
        <v>22</v>
      </c>
      <c r="B2" s="29">
        <v>60950000</v>
      </c>
    </row>
    <row r="3" spans="1:11" s="9" customFormat="1" x14ac:dyDescent="0.25">
      <c r="A3" s="28" t="s">
        <v>23</v>
      </c>
      <c r="B3" s="30">
        <v>7.8E-2</v>
      </c>
    </row>
    <row r="4" spans="1:11" s="9" customFormat="1" x14ac:dyDescent="0.25">
      <c r="A4" s="28" t="s">
        <v>24</v>
      </c>
      <c r="B4" s="30">
        <v>-6.5000000000000002E-2</v>
      </c>
    </row>
    <row r="5" spans="1:11" s="9" customFormat="1" x14ac:dyDescent="0.25">
      <c r="A5" s="28" t="s">
        <v>25</v>
      </c>
      <c r="B5" s="30">
        <v>8.4500000000000006E-2</v>
      </c>
    </row>
    <row r="6" spans="1:11" s="9" customFormat="1" x14ac:dyDescent="0.25">
      <c r="A6" s="28" t="s">
        <v>26</v>
      </c>
      <c r="B6" s="30">
        <v>0.1138</v>
      </c>
    </row>
    <row r="7" spans="1:11" s="9" customFormat="1" x14ac:dyDescent="0.25">
      <c r="A7" s="28" t="s">
        <v>27</v>
      </c>
      <c r="B7" s="30">
        <v>6.6500000000000004E-2</v>
      </c>
    </row>
    <row r="8" spans="1:11" s="9" customFormat="1" x14ac:dyDescent="0.25">
      <c r="A8" s="28" t="s">
        <v>28</v>
      </c>
      <c r="B8" s="30">
        <v>-9.35E-2</v>
      </c>
    </row>
    <row r="9" spans="1:11" s="9" customFormat="1" x14ac:dyDescent="0.25">
      <c r="A9" s="28" t="s">
        <v>29</v>
      </c>
      <c r="B9" s="30">
        <v>-0.1168</v>
      </c>
    </row>
    <row r="10" spans="1:11" s="9" customFormat="1" x14ac:dyDescent="0.25">
      <c r="A10" s="28" t="s">
        <v>30</v>
      </c>
      <c r="B10" s="30">
        <v>5.9499999999999997E-2</v>
      </c>
    </row>
    <row r="11" spans="1:11" s="9" customFormat="1" x14ac:dyDescent="0.25">
      <c r="A11" s="5"/>
    </row>
    <row r="12" spans="1:11" s="9" customFormat="1" x14ac:dyDescent="0.25">
      <c r="A12" s="5"/>
    </row>
    <row r="13" spans="1:11" s="1" customFormat="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40</v>
      </c>
      <c r="K13" s="1" t="s">
        <v>41</v>
      </c>
    </row>
    <row r="14" spans="1:11" s="9" customFormat="1" x14ac:dyDescent="0.25">
      <c r="A14" s="5" t="s">
        <v>42</v>
      </c>
      <c r="B14" s="7">
        <f>$B$2</f>
        <v>60950000</v>
      </c>
      <c r="C14" s="7">
        <f>B14</f>
        <v>60950000</v>
      </c>
      <c r="D14" s="7">
        <f>B25*(1+$B$7)</f>
        <v>79141032.399972096</v>
      </c>
      <c r="E14" s="7">
        <f>D14</f>
        <v>79141032.399972096</v>
      </c>
      <c r="F14" s="7">
        <f>D25*(1+$B$8)</f>
        <v>87344720.899567679</v>
      </c>
      <c r="G14" s="7">
        <f>F14</f>
        <v>87344720.899567679</v>
      </c>
      <c r="H14" s="7">
        <f>F24*(1+$B$9)</f>
        <v>84324864.088751242</v>
      </c>
      <c r="I14" s="7">
        <f>H14</f>
        <v>84324864.088751242</v>
      </c>
      <c r="J14" s="7">
        <f>H25*(1+$B$10)</f>
        <v>108773662.6807673</v>
      </c>
      <c r="K14" s="7">
        <f>J14</f>
        <v>108773662.6807673</v>
      </c>
    </row>
    <row r="15" spans="1:11" s="9" customFormat="1" x14ac:dyDescent="0.25">
      <c r="A15" s="5" t="s">
        <v>43</v>
      </c>
      <c r="B15" s="7">
        <f>B14</f>
        <v>60950000</v>
      </c>
      <c r="C15" s="7">
        <f t="shared" ref="C15:C25" si="0">C14+B15</f>
        <v>121900000</v>
      </c>
      <c r="D15" s="7">
        <f>D14</f>
        <v>79141032.399972096</v>
      </c>
      <c r="E15" s="7">
        <f t="shared" ref="E15:E25" si="1">E14+D15</f>
        <v>158282064.79994419</v>
      </c>
      <c r="F15" s="7">
        <f>F14</f>
        <v>87344720.899567679</v>
      </c>
      <c r="G15" s="7">
        <f t="shared" ref="G15:G25" si="2">G14+F15</f>
        <v>174689441.79913536</v>
      </c>
      <c r="H15" s="7">
        <f>H14</f>
        <v>84324864.088751242</v>
      </c>
      <c r="I15" s="7">
        <f t="shared" ref="I15:I25" si="3">I14+H15</f>
        <v>168649728.17750248</v>
      </c>
      <c r="J15" s="7">
        <f>J14</f>
        <v>108773662.6807673</v>
      </c>
      <c r="K15" s="7">
        <f t="shared" ref="K15:K25" si="4">K14+J15</f>
        <v>217547325.3615346</v>
      </c>
    </row>
    <row r="16" spans="1:11" s="9" customFormat="1" x14ac:dyDescent="0.25">
      <c r="A16" s="5" t="s">
        <v>44</v>
      </c>
      <c r="B16" s="7">
        <f>B14</f>
        <v>60950000</v>
      </c>
      <c r="C16" s="7">
        <f t="shared" si="0"/>
        <v>182850000</v>
      </c>
      <c r="D16" s="7">
        <f>D14</f>
        <v>79141032.399972096</v>
      </c>
      <c r="E16" s="7">
        <f t="shared" si="1"/>
        <v>237423097.1999163</v>
      </c>
      <c r="F16" s="7">
        <f>F14</f>
        <v>87344720.899567679</v>
      </c>
      <c r="G16" s="7">
        <f t="shared" si="2"/>
        <v>262034162.69870305</v>
      </c>
      <c r="H16" s="7">
        <f>H14</f>
        <v>84324864.088751242</v>
      </c>
      <c r="I16" s="7">
        <f t="shared" si="3"/>
        <v>252974592.26625371</v>
      </c>
      <c r="J16" s="7">
        <f>J14</f>
        <v>108773662.6807673</v>
      </c>
      <c r="K16" s="7">
        <f t="shared" si="4"/>
        <v>326320988.04230189</v>
      </c>
    </row>
    <row r="17" spans="1:11" s="9" customFormat="1" x14ac:dyDescent="0.25">
      <c r="A17" s="5" t="s">
        <v>45</v>
      </c>
      <c r="B17" s="7">
        <f>B16*(1+$B$3)</f>
        <v>65704100.000000007</v>
      </c>
      <c r="C17" s="7">
        <f t="shared" si="0"/>
        <v>248554100</v>
      </c>
      <c r="D17" s="7">
        <f>D16*(1+$B$3)</f>
        <v>85314032.927169919</v>
      </c>
      <c r="E17" s="7">
        <f t="shared" si="1"/>
        <v>322737130.12708622</v>
      </c>
      <c r="F17" s="7">
        <f>F16*(1+$B$3)</f>
        <v>94157609.129733965</v>
      </c>
      <c r="G17" s="7">
        <f t="shared" si="2"/>
        <v>356191771.82843703</v>
      </c>
      <c r="H17" s="7">
        <f>H16*(1+$B$3)</f>
        <v>90902203.487673849</v>
      </c>
      <c r="I17" s="7">
        <f t="shared" si="3"/>
        <v>343876795.75392759</v>
      </c>
      <c r="J17" s="7">
        <f>J16*(1+$B$3)</f>
        <v>117258008.36986716</v>
      </c>
      <c r="K17" s="7">
        <f t="shared" si="4"/>
        <v>443578996.41216904</v>
      </c>
    </row>
    <row r="18" spans="1:11" s="9" customFormat="1" x14ac:dyDescent="0.25">
      <c r="A18" s="5" t="s">
        <v>46</v>
      </c>
      <c r="B18" s="7">
        <f>B17</f>
        <v>65704100.000000007</v>
      </c>
      <c r="C18" s="7">
        <f t="shared" si="0"/>
        <v>314258200</v>
      </c>
      <c r="D18" s="7">
        <f>D17</f>
        <v>85314032.927169919</v>
      </c>
      <c r="E18" s="7">
        <f t="shared" si="1"/>
        <v>408051163.05425614</v>
      </c>
      <c r="F18" s="7">
        <f>F17</f>
        <v>94157609.129733965</v>
      </c>
      <c r="G18" s="7">
        <f t="shared" si="2"/>
        <v>450349380.95817101</v>
      </c>
      <c r="H18" s="7">
        <f>H17</f>
        <v>90902203.487673849</v>
      </c>
      <c r="I18" s="7">
        <f t="shared" si="3"/>
        <v>434778999.24160147</v>
      </c>
      <c r="J18" s="7">
        <f>J17</f>
        <v>117258008.36986716</v>
      </c>
      <c r="K18" s="7">
        <f t="shared" si="4"/>
        <v>560837004.78203619</v>
      </c>
    </row>
    <row r="19" spans="1:11" s="9" customFormat="1" x14ac:dyDescent="0.25">
      <c r="A19" s="5" t="s">
        <v>47</v>
      </c>
      <c r="B19" s="7">
        <f>B17</f>
        <v>65704100.000000007</v>
      </c>
      <c r="C19" s="7">
        <f t="shared" si="0"/>
        <v>379962300</v>
      </c>
      <c r="D19" s="7">
        <f>D17</f>
        <v>85314032.927169919</v>
      </c>
      <c r="E19" s="7">
        <f t="shared" si="1"/>
        <v>493365195.98142606</v>
      </c>
      <c r="F19" s="7">
        <f>F17</f>
        <v>94157609.129733965</v>
      </c>
      <c r="G19" s="7">
        <f t="shared" si="2"/>
        <v>544506990.08790493</v>
      </c>
      <c r="H19" s="7">
        <f>H17</f>
        <v>90902203.487673849</v>
      </c>
      <c r="I19" s="7">
        <f t="shared" si="3"/>
        <v>525681202.72927535</v>
      </c>
      <c r="J19" s="7">
        <f>J17</f>
        <v>117258008.36986716</v>
      </c>
      <c r="K19" s="7">
        <f t="shared" si="4"/>
        <v>678095013.15190339</v>
      </c>
    </row>
    <row r="20" spans="1:11" s="9" customFormat="1" x14ac:dyDescent="0.25">
      <c r="A20" s="5" t="s">
        <v>48</v>
      </c>
      <c r="B20" s="7">
        <f>B19*(1+$B$4)</f>
        <v>61433333.500000007</v>
      </c>
      <c r="C20" s="7">
        <f t="shared" si="0"/>
        <v>441395633.5</v>
      </c>
      <c r="D20" s="7">
        <f>D19*(1+$B$4)</f>
        <v>79768620.786903873</v>
      </c>
      <c r="E20" s="7">
        <f t="shared" si="1"/>
        <v>573133816.76832998</v>
      </c>
      <c r="F20" s="7">
        <f>F19*(1+$B$4)</f>
        <v>88037364.536301255</v>
      </c>
      <c r="G20" s="7">
        <f t="shared" si="2"/>
        <v>632544354.62420619</v>
      </c>
      <c r="H20" s="7">
        <f>H19*(1+$B$4)</f>
        <v>84993560.260975048</v>
      </c>
      <c r="I20" s="7">
        <f t="shared" si="3"/>
        <v>610674762.99025035</v>
      </c>
      <c r="J20" s="7">
        <f>J19*(1+$B$4)</f>
        <v>109636237.8258258</v>
      </c>
      <c r="K20" s="7">
        <f t="shared" si="4"/>
        <v>787731250.9777292</v>
      </c>
    </row>
    <row r="21" spans="1:11" s="9" customFormat="1" x14ac:dyDescent="0.25">
      <c r="A21" s="5" t="s">
        <v>49</v>
      </c>
      <c r="B21" s="7">
        <f>B20</f>
        <v>61433333.500000007</v>
      </c>
      <c r="C21" s="7">
        <f t="shared" si="0"/>
        <v>502828967</v>
      </c>
      <c r="D21" s="7">
        <f>D20</f>
        <v>79768620.786903873</v>
      </c>
      <c r="E21" s="7">
        <f t="shared" si="1"/>
        <v>652902437.55523384</v>
      </c>
      <c r="F21" s="7">
        <f>F20</f>
        <v>88037364.536301255</v>
      </c>
      <c r="G21" s="7">
        <f t="shared" si="2"/>
        <v>720581719.16050744</v>
      </c>
      <c r="H21" s="7">
        <f>H20</f>
        <v>84993560.260975048</v>
      </c>
      <c r="I21" s="7">
        <f t="shared" si="3"/>
        <v>695668323.25122535</v>
      </c>
      <c r="J21" s="7">
        <f>J20</f>
        <v>109636237.8258258</v>
      </c>
      <c r="K21" s="7">
        <f t="shared" si="4"/>
        <v>897367488.80355501</v>
      </c>
    </row>
    <row r="22" spans="1:11" s="9" customFormat="1" x14ac:dyDescent="0.25">
      <c r="A22" s="5" t="s">
        <v>50</v>
      </c>
      <c r="B22" s="7">
        <f>B20</f>
        <v>61433333.500000007</v>
      </c>
      <c r="C22" s="7">
        <f t="shared" si="0"/>
        <v>564262300.5</v>
      </c>
      <c r="D22" s="7">
        <f>D20</f>
        <v>79768620.786903873</v>
      </c>
      <c r="E22" s="7">
        <f t="shared" si="1"/>
        <v>732671058.34213769</v>
      </c>
      <c r="F22" s="7">
        <f>F20</f>
        <v>88037364.536301255</v>
      </c>
      <c r="G22" s="7">
        <f t="shared" si="2"/>
        <v>808619083.6968087</v>
      </c>
      <c r="H22" s="7">
        <f>H20</f>
        <v>84993560.260975048</v>
      </c>
      <c r="I22" s="7">
        <f t="shared" si="3"/>
        <v>780661883.51220036</v>
      </c>
      <c r="J22" s="7">
        <f>J20</f>
        <v>109636237.8258258</v>
      </c>
      <c r="K22" s="7">
        <f t="shared" si="4"/>
        <v>1007003726.6293808</v>
      </c>
    </row>
    <row r="23" spans="1:11" s="9" customFormat="1" x14ac:dyDescent="0.25">
      <c r="A23" s="5" t="s">
        <v>51</v>
      </c>
      <c r="B23" s="7">
        <f>B22*(1+$B$5)</f>
        <v>66624450.180750012</v>
      </c>
      <c r="C23" s="7">
        <f t="shared" si="0"/>
        <v>630886750.68075001</v>
      </c>
      <c r="D23" s="7">
        <f>D22*(1+$B$5)</f>
        <v>86509069.243397251</v>
      </c>
      <c r="E23" s="7">
        <f t="shared" si="1"/>
        <v>819180127.58553493</v>
      </c>
      <c r="F23" s="7">
        <f>F22*(1+$B$5)</f>
        <v>95476521.839618713</v>
      </c>
      <c r="G23" s="7">
        <f t="shared" si="2"/>
        <v>904095605.53642738</v>
      </c>
      <c r="H23" s="7">
        <f>H22*(1+$B$5)</f>
        <v>92175516.103027448</v>
      </c>
      <c r="I23" s="7">
        <f t="shared" si="3"/>
        <v>872837399.61522782</v>
      </c>
      <c r="J23" s="7">
        <f>J22*(1+$B$5)</f>
        <v>118900499.92210808</v>
      </c>
      <c r="K23" s="7">
        <f t="shared" si="4"/>
        <v>1125904226.5514889</v>
      </c>
    </row>
    <row r="24" spans="1:11" s="9" customFormat="1" x14ac:dyDescent="0.25">
      <c r="A24" s="5" t="s">
        <v>52</v>
      </c>
      <c r="B24" s="7">
        <f>B23</f>
        <v>66624450.180750012</v>
      </c>
      <c r="C24" s="7">
        <f t="shared" si="0"/>
        <v>697511200.86150002</v>
      </c>
      <c r="D24" s="7">
        <f>D23</f>
        <v>86509069.243397251</v>
      </c>
      <c r="E24" s="7">
        <f t="shared" si="1"/>
        <v>905689196.82893217</v>
      </c>
      <c r="F24" s="7">
        <f>F23</f>
        <v>95476521.839618713</v>
      </c>
      <c r="G24" s="7">
        <f t="shared" si="2"/>
        <v>999572127.37604606</v>
      </c>
      <c r="H24" s="7">
        <f>H23</f>
        <v>92175516.103027448</v>
      </c>
      <c r="I24" s="7">
        <f t="shared" si="3"/>
        <v>965012915.71825528</v>
      </c>
      <c r="J24" s="7">
        <f>J23</f>
        <v>118900499.92210808</v>
      </c>
      <c r="K24" s="7">
        <f t="shared" si="4"/>
        <v>1244804726.473597</v>
      </c>
    </row>
    <row r="25" spans="1:11" s="12" customFormat="1" ht="15.75" thickBot="1" x14ac:dyDescent="0.3">
      <c r="A25" s="10" t="s">
        <v>53</v>
      </c>
      <c r="B25" s="27">
        <f>B24*(1+$B$6)</f>
        <v>74206312.611319363</v>
      </c>
      <c r="C25" s="27">
        <f t="shared" si="0"/>
        <v>771717513.47281933</v>
      </c>
      <c r="D25" s="27">
        <f>D24*(1+$B$6)</f>
        <v>96353801.323295847</v>
      </c>
      <c r="E25" s="27">
        <f t="shared" si="1"/>
        <v>1002042998.152228</v>
      </c>
      <c r="F25" s="27">
        <f>F24*(1+$B$6)</f>
        <v>106341750.02496731</v>
      </c>
      <c r="G25" s="27">
        <f t="shared" si="2"/>
        <v>1105913877.4010134</v>
      </c>
      <c r="H25" s="27">
        <f>H24*(1+$B$6)</f>
        <v>102665089.83555196</v>
      </c>
      <c r="I25" s="27">
        <f t="shared" si="3"/>
        <v>1067678005.5538073</v>
      </c>
      <c r="J25" s="27">
        <f>J24*(1+$B$6)</f>
        <v>132431376.81324397</v>
      </c>
      <c r="K25" s="27">
        <f t="shared" si="4"/>
        <v>1377236103.2868409</v>
      </c>
    </row>
    <row r="26" spans="1:11" s="9" customFormat="1" ht="15.75" thickTop="1" x14ac:dyDescent="0.25"/>
    <row r="27" spans="1:11" s="9" customFormat="1" ht="15.75" thickBot="1" x14ac:dyDescent="0.3">
      <c r="A27" s="10" t="s">
        <v>54</v>
      </c>
      <c r="B27" s="31">
        <f>SUM(B14:B25)</f>
        <v>771717513.47281933</v>
      </c>
      <c r="C27" s="12"/>
      <c r="D27" s="31">
        <f>SUM(D14:D25)</f>
        <v>1002042998.152228</v>
      </c>
      <c r="E27" s="12"/>
      <c r="F27" s="31">
        <f>SUM(F14:F25)</f>
        <v>1105913877.4010134</v>
      </c>
      <c r="G27" s="12"/>
      <c r="H27" s="31">
        <f>SUM(H14:H25)</f>
        <v>1067678005.5538073</v>
      </c>
      <c r="I27" s="12"/>
      <c r="J27" s="31">
        <f>SUM(J14:J25)</f>
        <v>1377236103.2868409</v>
      </c>
    </row>
    <row r="28" spans="1:11" s="9" customFormat="1" ht="16.5" thickTop="1" x14ac:dyDescent="0.25">
      <c r="A28" s="5" t="s">
        <v>55</v>
      </c>
      <c r="B28" s="32">
        <f>B27+D27+F27+H27+J27</f>
        <v>5324588497.8667088</v>
      </c>
    </row>
    <row r="29" spans="1:11" s="9" customFormat="1" x14ac:dyDescent="0.25"/>
    <row r="30" spans="1:11" s="9" customFormat="1" x14ac:dyDescent="0.25"/>
    <row r="31" spans="1:11" s="9" customFormat="1" x14ac:dyDescent="0.25"/>
    <row r="32" spans="1:11" s="9" customFormat="1" x14ac:dyDescent="0.25"/>
    <row r="33" s="9" customFormat="1" x14ac:dyDescent="0.25"/>
    <row r="34" s="9" customFormat="1" x14ac:dyDescent="0.25"/>
    <row r="35" s="9" customFormat="1" x14ac:dyDescent="0.25"/>
    <row r="36" s="9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C87F-B51A-4C2B-B43F-F7E73150ED76}">
  <dimension ref="A1:F63"/>
  <sheetViews>
    <sheetView topLeftCell="A13" workbookViewId="0">
      <selection activeCell="B47" sqref="B47"/>
    </sheetView>
  </sheetViews>
  <sheetFormatPr baseColWidth="10" defaultRowHeight="15" x14ac:dyDescent="0.25"/>
  <cols>
    <col min="2" max="2" width="38.5703125" customWidth="1"/>
    <col min="3" max="3" width="15.28515625" customWidth="1"/>
    <col min="4" max="4" width="14.140625" customWidth="1"/>
    <col min="5" max="5" width="14.5703125" bestFit="1" customWidth="1"/>
  </cols>
  <sheetData>
    <row r="1" spans="1:5" x14ac:dyDescent="0.25">
      <c r="A1" s="37" t="s">
        <v>57</v>
      </c>
      <c r="B1" s="46" t="s">
        <v>58</v>
      </c>
      <c r="C1" s="47"/>
      <c r="D1" s="47"/>
      <c r="E1" s="47"/>
    </row>
    <row r="2" spans="1:5" x14ac:dyDescent="0.25">
      <c r="A2" s="38" t="s">
        <v>56</v>
      </c>
      <c r="B2" s="33"/>
      <c r="C2" s="48"/>
      <c r="D2" s="49"/>
      <c r="E2" s="50"/>
    </row>
    <row r="3" spans="1:5" x14ac:dyDescent="0.25">
      <c r="A3" s="39"/>
      <c r="B3" s="44" t="s">
        <v>59</v>
      </c>
      <c r="C3" s="45"/>
      <c r="D3" s="45"/>
      <c r="E3" s="51"/>
    </row>
    <row r="4" spans="1:5" x14ac:dyDescent="0.25">
      <c r="A4" s="39"/>
      <c r="B4" s="34" t="str">
        <f>_xlfn.CONCAT("   Precio de venta = ",TEXT('Punto1 - Precio de venta'!B9,"$ #.##0,00"))</f>
        <v xml:space="preserve">   Precio de venta = $ 21.898,04</v>
      </c>
      <c r="C4" s="8" t="s">
        <v>61</v>
      </c>
      <c r="D4" s="25"/>
      <c r="E4" s="8"/>
    </row>
    <row r="5" spans="1:5" x14ac:dyDescent="0.25">
      <c r="A5" s="39"/>
      <c r="B5" s="34" t="str">
        <f>_xlfn.CONCAT("   Margen neto = ",TEXT('Punto1 - Precio de venta'!B21,"0,00%"))</f>
        <v xml:space="preserve">   Margen neto = 16,80%</v>
      </c>
      <c r="C5" s="8" t="s">
        <v>62</v>
      </c>
      <c r="D5" s="25"/>
      <c r="E5" s="8"/>
    </row>
    <row r="6" spans="1:5" x14ac:dyDescent="0.25">
      <c r="A6" s="39"/>
      <c r="B6" s="34" t="str">
        <f>_xlfn.CONCAT("   Utilidad neta = ",TEXT('Punto1 - Precio de venta'!B19,"$ #.##0,00"))</f>
        <v xml:space="preserve">   Utilidad neta = $ 82.590.629,92</v>
      </c>
      <c r="C6" s="8" t="s">
        <v>63</v>
      </c>
      <c r="D6" s="25"/>
      <c r="E6" s="8"/>
    </row>
    <row r="7" spans="1:5" x14ac:dyDescent="0.25">
      <c r="A7" s="39"/>
      <c r="B7" s="34"/>
      <c r="C7" s="25"/>
      <c r="D7" s="25"/>
      <c r="E7" s="8"/>
    </row>
    <row r="8" spans="1:5" x14ac:dyDescent="0.25">
      <c r="A8" s="39"/>
      <c r="B8" s="42" t="s">
        <v>60</v>
      </c>
      <c r="C8" s="43"/>
      <c r="D8" s="43"/>
      <c r="E8" s="52"/>
    </row>
    <row r="9" spans="1:5" x14ac:dyDescent="0.25">
      <c r="A9" s="39"/>
      <c r="B9" s="34" t="str">
        <f>_xlfn.CONCAT("   Precio de venta = ",TEXT('Punto1 - Precio de venta'!C9,"$ #.##0"))</f>
        <v xml:space="preserve">   Precio de venta = $ 20.234</v>
      </c>
      <c r="C9" s="8" t="s">
        <v>64</v>
      </c>
      <c r="D9" s="25"/>
      <c r="E9" s="8"/>
    </row>
    <row r="10" spans="1:5" x14ac:dyDescent="0.25">
      <c r="A10" s="39"/>
      <c r="B10" s="34" t="str">
        <f>_xlfn.CONCAT("   Margen neto = ",TEXT('Punto1 - Precio de venta'!C21,"0,00%"))</f>
        <v xml:space="preserve">   Margen neto = 16,80%</v>
      </c>
      <c r="C10" s="8" t="s">
        <v>62</v>
      </c>
      <c r="D10" s="25"/>
      <c r="E10" s="8"/>
    </row>
    <row r="11" spans="1:5" x14ac:dyDescent="0.25">
      <c r="A11" s="39"/>
      <c r="B11" s="34" t="str">
        <f>_xlfn.CONCAT("   Utilidad neta = ",TEXT('Punto1 - Precio de venta'!C19,"$ #.##0"))</f>
        <v xml:space="preserve">   Utilidad neta = $ 98.238.551</v>
      </c>
      <c r="C11" s="8" t="s">
        <v>63</v>
      </c>
      <c r="D11" s="25"/>
      <c r="E11" s="8"/>
    </row>
    <row r="12" spans="1:5" x14ac:dyDescent="0.25">
      <c r="A12" s="39"/>
      <c r="B12" s="34"/>
      <c r="C12" s="25"/>
      <c r="D12" s="25"/>
      <c r="E12" s="8"/>
    </row>
    <row r="13" spans="1:5" x14ac:dyDescent="0.25">
      <c r="A13" s="39"/>
      <c r="B13" s="42" t="s">
        <v>65</v>
      </c>
      <c r="C13" s="43"/>
      <c r="D13" s="43"/>
      <c r="E13" s="52"/>
    </row>
    <row r="14" spans="1:5" x14ac:dyDescent="0.25">
      <c r="A14" s="39"/>
      <c r="B14" s="34" t="str">
        <f>_xlfn.CONCAT("   Precio de venta = ",TEXT('Punto1 - Precio de venta'!D9,"$ #.##0"))</f>
        <v xml:space="preserve">   Precio de venta = $ 19.350</v>
      </c>
      <c r="C14" s="8" t="s">
        <v>64</v>
      </c>
      <c r="D14" s="25"/>
      <c r="E14" s="8"/>
    </row>
    <row r="15" spans="1:5" x14ac:dyDescent="0.25">
      <c r="A15" s="39"/>
      <c r="B15" s="34" t="str">
        <f>_xlfn.CONCAT("   Margen neto = ",TEXT('Punto1 - Precio de venta'!D21,"0,00%"))</f>
        <v xml:space="preserve">   Margen neto = 16,80%</v>
      </c>
      <c r="C15" s="8" t="s">
        <v>62</v>
      </c>
      <c r="D15" s="25"/>
      <c r="E15" s="8"/>
    </row>
    <row r="16" spans="1:5" x14ac:dyDescent="0.25">
      <c r="A16" s="39"/>
      <c r="B16" s="34" t="str">
        <f>_xlfn.CONCAT("   Utilidad neta = ",TEXT('Punto1 - Precio de venta'!D19,"$ #.##0"))</f>
        <v xml:space="preserve">   Utilidad neta = $ 93.621.417</v>
      </c>
      <c r="C16" s="8" t="s">
        <v>63</v>
      </c>
      <c r="D16" s="25"/>
      <c r="E16" s="8"/>
    </row>
    <row r="17" spans="1:6" x14ac:dyDescent="0.25">
      <c r="A17" s="39"/>
      <c r="B17" s="34"/>
      <c r="C17" s="25"/>
      <c r="D17" s="25"/>
      <c r="E17" s="8"/>
    </row>
    <row r="18" spans="1:6" x14ac:dyDescent="0.25">
      <c r="A18" s="39"/>
      <c r="B18" s="42" t="s">
        <v>66</v>
      </c>
      <c r="C18" s="43"/>
      <c r="D18" s="43"/>
      <c r="E18" s="52"/>
    </row>
    <row r="19" spans="1:6" x14ac:dyDescent="0.25">
      <c r="A19" s="39"/>
      <c r="B19" s="34" t="str">
        <f>_xlfn.CONCAT("   Precio de venta = ",TEXT('Punto1 - Precio de venta'!E9,"$ #.##0"))</f>
        <v xml:space="preserve">   Precio de venta = $ 21.337</v>
      </c>
      <c r="C19" s="8" t="s">
        <v>64</v>
      </c>
      <c r="D19" s="25"/>
      <c r="E19" s="8"/>
    </row>
    <row r="20" spans="1:6" x14ac:dyDescent="0.25">
      <c r="A20" s="39"/>
      <c r="B20" s="34" t="str">
        <f>_xlfn.CONCAT("   Margen neto = ",TEXT('Punto1 - Precio de venta'!E21,"0,00%"))</f>
        <v xml:space="preserve">   Margen neto = 16,80%</v>
      </c>
      <c r="C20" s="8" t="s">
        <v>62</v>
      </c>
      <c r="D20" s="25"/>
      <c r="E20" s="8"/>
    </row>
    <row r="21" spans="1:6" x14ac:dyDescent="0.25">
      <c r="A21" s="39"/>
      <c r="B21" s="34" t="str">
        <f>_xlfn.CONCAT("   Utilidad neta = ",TEXT('Punto1 - Precio de venta'!E19,"$ #.##0"))</f>
        <v xml:space="preserve">   Utilidad neta = $ 98.578.740</v>
      </c>
      <c r="C21" s="8" t="s">
        <v>63</v>
      </c>
      <c r="D21" s="25"/>
      <c r="E21" s="8"/>
    </row>
    <row r="22" spans="1:6" x14ac:dyDescent="0.25">
      <c r="A22" s="39"/>
      <c r="B22" s="34"/>
      <c r="C22" s="25"/>
      <c r="D22" s="25"/>
      <c r="E22" s="8"/>
    </row>
    <row r="23" spans="1:6" ht="15" hidden="1" customHeight="1" x14ac:dyDescent="0.25">
      <c r="A23" s="39"/>
      <c r="B23" s="34"/>
      <c r="C23" s="8"/>
      <c r="D23" s="26"/>
      <c r="E23" s="4"/>
    </row>
    <row r="24" spans="1:6" x14ac:dyDescent="0.25">
      <c r="A24" s="39"/>
      <c r="B24" s="42" t="s">
        <v>67</v>
      </c>
      <c r="C24" s="43"/>
      <c r="D24" s="43"/>
      <c r="E24" s="52"/>
    </row>
    <row r="25" spans="1:6" x14ac:dyDescent="0.25">
      <c r="A25" s="39"/>
      <c r="B25" s="34" t="str">
        <f>_xlfn.CONCAT("   Precio de venta = ",TEXT('Punto1 - Precio de venta'!F9,"$ #.##0"))</f>
        <v xml:space="preserve">   Precio de venta = $ 19.868</v>
      </c>
      <c r="C25" s="8" t="s">
        <v>64</v>
      </c>
      <c r="D25" s="25"/>
      <c r="E25" s="8"/>
    </row>
    <row r="26" spans="1:6" x14ac:dyDescent="0.25">
      <c r="A26" s="39"/>
      <c r="B26" s="34" t="str">
        <f>_xlfn.CONCAT("   Margen neto = ",TEXT('Punto1 - Precio de venta'!F21,"0,00%"))</f>
        <v xml:space="preserve">   Margen neto = 16,80%</v>
      </c>
      <c r="C26" s="8" t="s">
        <v>62</v>
      </c>
      <c r="D26" s="25"/>
      <c r="E26" s="8"/>
    </row>
    <row r="27" spans="1:6" x14ac:dyDescent="0.25">
      <c r="A27" s="39"/>
      <c r="B27" s="34" t="str">
        <f>_xlfn.CONCAT("   Utilidad neta = ",TEXT('Punto1 - Precio de venta'!F19,"$ #.##0"))</f>
        <v xml:space="preserve">   Utilidad neta = $ 94.794.331</v>
      </c>
      <c r="C27" s="8" t="s">
        <v>63</v>
      </c>
      <c r="D27" s="25"/>
      <c r="E27" s="8"/>
    </row>
    <row r="28" spans="1:6" x14ac:dyDescent="0.25">
      <c r="A28" s="40"/>
      <c r="B28" s="35"/>
      <c r="C28" s="53"/>
      <c r="D28" s="53"/>
      <c r="E28" s="36"/>
    </row>
    <row r="29" spans="1:6" x14ac:dyDescent="0.25">
      <c r="A29" s="66" t="s">
        <v>68</v>
      </c>
      <c r="B29" s="54"/>
      <c r="C29" s="49"/>
      <c r="D29" s="49"/>
      <c r="E29" s="50"/>
    </row>
    <row r="30" spans="1:6" x14ac:dyDescent="0.25">
      <c r="A30" s="67"/>
      <c r="B30" s="55" t="s">
        <v>69</v>
      </c>
      <c r="C30" s="25"/>
      <c r="D30" s="25"/>
      <c r="E30" s="8"/>
    </row>
    <row r="31" spans="1:6" x14ac:dyDescent="0.25">
      <c r="A31" s="67"/>
      <c r="B31" s="56" t="s">
        <v>82</v>
      </c>
      <c r="C31" s="57" t="s">
        <v>8</v>
      </c>
      <c r="D31" s="57" t="s">
        <v>16</v>
      </c>
      <c r="E31" s="2" t="s">
        <v>81</v>
      </c>
      <c r="F31" s="41"/>
    </row>
    <row r="32" spans="1:6" x14ac:dyDescent="0.25">
      <c r="A32" s="67"/>
      <c r="B32" s="34" t="s">
        <v>83</v>
      </c>
      <c r="C32" s="58" t="str">
        <f>TEXT('Punto1 - Precio de venta'!C$9,"$ #.##0")</f>
        <v>$ 20.234</v>
      </c>
      <c r="D32" s="59" t="str">
        <f>TEXT('Punto1 - Precio de venta'!C$19,"$ #.##0")</f>
        <v>$ 98.238.551</v>
      </c>
      <c r="E32" s="60">
        <f>(21400 - C32) / 21400</f>
        <v>5.4485981308411216E-2</v>
      </c>
    </row>
    <row r="33" spans="1:5" x14ac:dyDescent="0.25">
      <c r="A33" s="67"/>
      <c r="B33" s="34" t="s">
        <v>84</v>
      </c>
      <c r="C33" s="61" t="str">
        <f>TEXT('Punto1 - Precio de venta'!D$9,"$ #.##0")</f>
        <v>$ 19.350</v>
      </c>
      <c r="D33" s="62" t="str">
        <f>TEXT('Punto1 - Precio de venta'!D$19,"$ #.##0")</f>
        <v>$ 93.621.417</v>
      </c>
      <c r="E33" s="63">
        <f t="shared" ref="E33:E35" si="0">(21400 - C33) / 21400</f>
        <v>9.5794392523364483E-2</v>
      </c>
    </row>
    <row r="34" spans="1:5" x14ac:dyDescent="0.25">
      <c r="A34" s="67"/>
      <c r="B34" s="34" t="s">
        <v>85</v>
      </c>
      <c r="C34" s="62" t="str">
        <f>TEXT('Punto1 - Precio de venta'!E$9,"$ #.##0")</f>
        <v>$ 21.337</v>
      </c>
      <c r="D34" s="61" t="str">
        <f>TEXT('Punto1 - Precio de venta'!E$19,"$ #.##0")</f>
        <v>$ 98.578.740</v>
      </c>
      <c r="E34" s="64">
        <f t="shared" si="0"/>
        <v>2.94392523364486E-3</v>
      </c>
    </row>
    <row r="35" spans="1:5" x14ac:dyDescent="0.25">
      <c r="A35" s="67"/>
      <c r="B35" s="34" t="s">
        <v>86</v>
      </c>
      <c r="C35" s="59" t="str">
        <f>TEXT('Punto1 - Precio de venta'!F$9,"$ #.##0")</f>
        <v>$ 19.868</v>
      </c>
      <c r="D35" s="58" t="str">
        <f>TEXT('Punto1 - Precio de venta'!F$19,"$ #.##0")</f>
        <v>$ 94.794.331</v>
      </c>
      <c r="E35" s="65">
        <f t="shared" si="0"/>
        <v>7.158878504672897E-2</v>
      </c>
    </row>
    <row r="36" spans="1:5" x14ac:dyDescent="0.25">
      <c r="A36" s="67"/>
      <c r="B36" s="34"/>
      <c r="C36" s="25"/>
      <c r="D36" s="25"/>
      <c r="E36" s="8"/>
    </row>
    <row r="37" spans="1:5" x14ac:dyDescent="0.25">
      <c r="A37" s="67"/>
      <c r="B37" s="55" t="s">
        <v>70</v>
      </c>
      <c r="C37" s="25"/>
      <c r="D37" s="25"/>
      <c r="E37" s="8"/>
    </row>
    <row r="38" spans="1:5" x14ac:dyDescent="0.25">
      <c r="A38" s="67"/>
      <c r="B38" s="34" t="s">
        <v>71</v>
      </c>
      <c r="C38" s="25"/>
      <c r="D38" s="25"/>
      <c r="E38" s="8"/>
    </row>
    <row r="39" spans="1:5" x14ac:dyDescent="0.25">
      <c r="A39" s="67"/>
      <c r="B39" s="34" t="s">
        <v>72</v>
      </c>
      <c r="C39" s="25"/>
      <c r="D39" s="25"/>
      <c r="E39" s="8"/>
    </row>
    <row r="40" spans="1:5" x14ac:dyDescent="0.25">
      <c r="A40" s="67"/>
      <c r="B40" s="34" t="s">
        <v>73</v>
      </c>
      <c r="C40" s="25"/>
      <c r="D40" s="25"/>
      <c r="E40" s="8"/>
    </row>
    <row r="41" spans="1:5" x14ac:dyDescent="0.25">
      <c r="A41" s="67"/>
      <c r="B41" s="34" t="s">
        <v>74</v>
      </c>
      <c r="C41" s="25"/>
      <c r="D41" s="25"/>
      <c r="E41" s="8"/>
    </row>
    <row r="42" spans="1:5" x14ac:dyDescent="0.25">
      <c r="A42" s="67"/>
      <c r="B42" s="34" t="s">
        <v>75</v>
      </c>
      <c r="C42" s="25"/>
      <c r="D42" s="25"/>
      <c r="E42" s="8"/>
    </row>
    <row r="43" spans="1:5" x14ac:dyDescent="0.25">
      <c r="A43" s="67"/>
      <c r="B43" s="34" t="s">
        <v>76</v>
      </c>
      <c r="C43" s="25"/>
      <c r="D43" s="25"/>
      <c r="E43" s="8"/>
    </row>
    <row r="44" spans="1:5" x14ac:dyDescent="0.25">
      <c r="A44" s="67"/>
      <c r="B44" s="34" t="s">
        <v>77</v>
      </c>
      <c r="C44" s="25"/>
      <c r="D44" s="25"/>
      <c r="E44" s="8"/>
    </row>
    <row r="45" spans="1:5" x14ac:dyDescent="0.25">
      <c r="A45" s="67"/>
      <c r="B45" s="34" t="s">
        <v>78</v>
      </c>
      <c r="C45" s="25"/>
      <c r="D45" s="25"/>
      <c r="E45" s="8"/>
    </row>
    <row r="46" spans="1:5" x14ac:dyDescent="0.25">
      <c r="A46" s="67"/>
      <c r="B46" s="34" t="s">
        <v>79</v>
      </c>
      <c r="C46" s="25"/>
      <c r="D46" s="25"/>
      <c r="E46" s="8"/>
    </row>
    <row r="47" spans="1:5" x14ac:dyDescent="0.25">
      <c r="A47" s="67"/>
      <c r="B47" s="34" t="s">
        <v>80</v>
      </c>
      <c r="C47" s="25"/>
      <c r="D47" s="25"/>
      <c r="E47" s="8"/>
    </row>
    <row r="48" spans="1:5" x14ac:dyDescent="0.25">
      <c r="A48" s="68"/>
      <c r="B48" s="35"/>
      <c r="C48" s="53"/>
      <c r="D48" s="53"/>
      <c r="E48" s="36"/>
    </row>
    <row r="49" spans="1:5" x14ac:dyDescent="0.25">
      <c r="A49" s="66">
        <v>2</v>
      </c>
      <c r="B49" s="54"/>
      <c r="C49" s="49"/>
      <c r="D49" s="49"/>
      <c r="E49" s="50"/>
    </row>
    <row r="50" spans="1:5" x14ac:dyDescent="0.25">
      <c r="A50" s="67"/>
      <c r="B50" s="46" t="s">
        <v>87</v>
      </c>
      <c r="C50" s="47"/>
      <c r="D50" s="25"/>
      <c r="E50" s="8"/>
    </row>
    <row r="51" spans="1:5" x14ac:dyDescent="0.25">
      <c r="A51" s="67"/>
      <c r="B51" s="69">
        <v>2021</v>
      </c>
      <c r="C51" s="25" t="str">
        <f>TEXT('Punto 2 - pronostico de ventas'!B$27,"$ #.##0")</f>
        <v>$ 771.717.513</v>
      </c>
      <c r="D51" s="25"/>
      <c r="E51" s="8"/>
    </row>
    <row r="52" spans="1:5" x14ac:dyDescent="0.25">
      <c r="A52" s="67"/>
      <c r="B52" s="69">
        <v>2022</v>
      </c>
      <c r="C52" s="25" t="str">
        <f>TEXT('Punto 2 - pronostico de ventas'!D$27,"$ #.##0")</f>
        <v>$ 1.002.042.998</v>
      </c>
      <c r="D52" s="25"/>
      <c r="E52" s="8"/>
    </row>
    <row r="53" spans="1:5" x14ac:dyDescent="0.25">
      <c r="A53" s="67"/>
      <c r="B53" s="69">
        <v>2023</v>
      </c>
      <c r="C53" s="25" t="str">
        <f>TEXT('Punto 2 - pronostico de ventas'!F$27,"$ #.##0")</f>
        <v>$ 1.105.913.877</v>
      </c>
      <c r="D53" s="25"/>
      <c r="E53" s="8"/>
    </row>
    <row r="54" spans="1:5" x14ac:dyDescent="0.25">
      <c r="A54" s="67"/>
      <c r="B54" s="69">
        <v>2024</v>
      </c>
      <c r="C54" s="25" t="str">
        <f>TEXT('Punto 2 - pronostico de ventas'!H$27,"$ #.##0")</f>
        <v>$ 1.067.678.006</v>
      </c>
      <c r="D54" s="25"/>
      <c r="E54" s="8"/>
    </row>
    <row r="55" spans="1:5" x14ac:dyDescent="0.25">
      <c r="A55" s="67"/>
      <c r="B55" s="69">
        <v>2025</v>
      </c>
      <c r="C55" s="25" t="str">
        <f>TEXT('Punto 2 - pronostico de ventas'!J$27,"$ #.##0")</f>
        <v>$ 1.377.236.103</v>
      </c>
      <c r="D55" s="25"/>
      <c r="E55" s="8"/>
    </row>
    <row r="56" spans="1:5" x14ac:dyDescent="0.25">
      <c r="A56" s="67"/>
      <c r="B56" s="34"/>
      <c r="C56" s="25"/>
      <c r="D56" s="25"/>
      <c r="E56" s="8"/>
    </row>
    <row r="57" spans="1:5" x14ac:dyDescent="0.25">
      <c r="A57" s="67"/>
      <c r="B57" s="34" t="s">
        <v>88</v>
      </c>
      <c r="C57" s="25"/>
      <c r="D57" s="25" t="str">
        <f>TEXT('Punto 2 - pronostico de ventas'!B$28,"$ #.##0")</f>
        <v>$ 5.324.588.498</v>
      </c>
      <c r="E57" s="8"/>
    </row>
    <row r="58" spans="1:5" x14ac:dyDescent="0.25">
      <c r="A58" s="67"/>
      <c r="B58" s="34"/>
      <c r="C58" s="25"/>
      <c r="D58" s="25"/>
      <c r="E58" s="8"/>
    </row>
    <row r="59" spans="1:5" x14ac:dyDescent="0.25">
      <c r="A59" s="67"/>
      <c r="B59" s="34"/>
      <c r="C59" s="25"/>
      <c r="D59" s="25"/>
      <c r="E59" s="8"/>
    </row>
    <row r="60" spans="1:5" x14ac:dyDescent="0.25">
      <c r="A60" s="67"/>
      <c r="B60" s="34"/>
      <c r="C60" s="25"/>
      <c r="D60" s="25"/>
      <c r="E60" s="8"/>
    </row>
    <row r="61" spans="1:5" x14ac:dyDescent="0.25">
      <c r="A61" s="67"/>
      <c r="B61" s="34"/>
      <c r="C61" s="25"/>
      <c r="D61" s="25"/>
      <c r="E61" s="8"/>
    </row>
    <row r="62" spans="1:5" x14ac:dyDescent="0.25">
      <c r="A62" s="67"/>
      <c r="B62" s="34"/>
      <c r="C62" s="25"/>
      <c r="D62" s="25"/>
      <c r="E62" s="8"/>
    </row>
    <row r="63" spans="1:5" x14ac:dyDescent="0.25">
      <c r="A63" s="68"/>
      <c r="B63" s="35"/>
      <c r="C63" s="53"/>
      <c r="D63" s="53"/>
      <c r="E63" s="36"/>
    </row>
  </sheetData>
  <mergeCells count="10">
    <mergeCell ref="A29:A48"/>
    <mergeCell ref="B50:C50"/>
    <mergeCell ref="A49:A63"/>
    <mergeCell ref="A2:A28"/>
    <mergeCell ref="B18:E18"/>
    <mergeCell ref="B24:E24"/>
    <mergeCell ref="B13:E13"/>
    <mergeCell ref="B8:E8"/>
    <mergeCell ref="B3:E3"/>
    <mergeCell ref="B1:E1"/>
  </mergeCells>
  <conditionalFormatting sqref="D32:D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Presentacion</vt:lpstr>
      <vt:lpstr>Punto1 - Precio de venta</vt:lpstr>
      <vt:lpstr>Punto 2 - pronostico de ventas</vt:lpstr>
      <vt:lpstr>Respuestas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Orozco</dc:creator>
  <cp:lastModifiedBy>Steven Orozco</cp:lastModifiedBy>
  <dcterms:created xsi:type="dcterms:W3CDTF">2026-08-31T02:10:47Z</dcterms:created>
  <dcterms:modified xsi:type="dcterms:W3CDTF">2026-08-31T04:42:13Z</dcterms:modified>
</cp:coreProperties>
</file>