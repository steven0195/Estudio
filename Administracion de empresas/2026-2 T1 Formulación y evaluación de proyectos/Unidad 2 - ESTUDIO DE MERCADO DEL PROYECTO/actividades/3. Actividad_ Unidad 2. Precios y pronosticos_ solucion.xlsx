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to 1 - Precio de venta" sheetId="1" state="visible" r:id="rId1"/>
    <sheet xmlns:r="http://schemas.openxmlformats.org/officeDocument/2006/relationships" name="Punto 2 - Pronostico ventas" sheetId="2" state="visible" r:id="rId2"/>
    <sheet xmlns:r="http://schemas.openxmlformats.org/officeDocument/2006/relationships" name="Respue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  <color rgb="00FFFFFF"/>
      <sz val="11"/>
    </font>
    <font>
      <b val="1"/>
    </font>
    <font>
      <b val="1"/>
      <sz val="12"/>
    </font>
    <font>
      <b val="1"/>
      <color rgb="001F4E78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0" fillId="3" borderId="0" pivotButton="0" quotePrefix="0" xfId="0"/>
    <xf numFmtId="10" fontId="0" fillId="3" borderId="0" pivotButton="0" quotePrefix="0" xfId="0"/>
    <xf numFmtId="3" fontId="0" fillId="0" borderId="0" pivotButton="0" quotePrefix="0" xfId="0"/>
    <xf numFmtId="3" fontId="4" fillId="4" borderId="0" pivotButton="0" quotePrefix="0" xfId="0"/>
    <xf numFmtId="3" fontId="4" fillId="0" borderId="0" pivotButton="0" quotePrefix="0" xfId="0"/>
    <xf numFmtId="10" fontId="4" fillId="4" borderId="0" pivotButton="0" quotePrefix="0" xfId="0"/>
    <xf numFmtId="3" fontId="4" fillId="3" borderId="0" pivotButton="0" quotePrefix="0" xfId="0"/>
    <xf numFmtId="10" fontId="4" fillId="3" borderId="0" pivotButton="0" quotePrefix="0" xfId="0"/>
    <xf numFmtId="3" fontId="5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Solucion (segun material Unidad 2)</author>
  </authors>
  <commentList>
    <comment ref="A2" authorId="0" shapeId="0">
      <text>
        <t>FORMULA (fuente: '1. Precios, demanda potencial y pronostico de ventas.md', seccion
1.3 'Precio de venta para los proyectos con base a variables internas y externas'):
   PRECIO = COSTO UNITARIO / (1 - %Inflacion - %Margen de utilidad)
La plantilla de Excel de la unidad ('2. Plantilla_Precios_Demanda_Pronosticos.xlsx',
hoja 'PRECIOS DE VENTA') la aplica con el numerador ampliado a
(COSTO UNITARIO + GASTO UNITARIO). Se sigue la plantilla porque es el modelo que el
docente pide usar y contra el que se compara la rubrica ('se usan las plantillas
propuestas'). El ejercicio inicial de esa fuente (TRAPOS MALOS S.A., 10.000 uds,
$20.000, 10%, 6%, $12.000.000) coincide celda a celda con la hoja 1 de la plantilla.</t>
      </text>
    </comment>
    <comment ref="A7" authorId="0" shapeId="0">
      <text>
        <t>La fuente distingue 1.1 'precio con base al costo' y 1.2 'precio con base al MARGEN
sobre la venta', y recomienda la segunda: '...queda una utilidad mayor y la empresa
puede otorgar descuentos, cubrir gastos administrativos y de ventas y separar el
margen para el inversionista'. Por eso el margen del 16,80% se define SOBRE VENTAS
NETAS, no sobre el costo. Nota de la fuente: 'la aplicacion de la formula dependera
de la politica de precios de la empresa o del proyecto'.</t>
      </text>
    </comment>
    <comment ref="A8" authorId="0" shapeId="0">
      <text>
        <t>La inflacion entra como 'mecanismo externo de formacion de precios' (fuente 1,
lista a-e) y como factor externo del pronostico. En este modelo la inflacion y el
margen 'reservan' parte del precio: al subir cualquiera de los dos, el precio de
venta sube.</t>
      </text>
    </comment>
    <comment ref="A11" authorId="0" shapeId="0">
      <text>
        <t>Plantilla de la unidad, hoja 'PRECIOS DE VENTA': 'Gastos por unidad = Gastos fijos
totales / Unidades a vender'. Los gastos fijos 'son invariables con cualquier nivel
de ventas' (fuente '1. Unidad2_Estudio de mercado.md', punto de equilibrio); al
repartirlos entre mas unidades, el gasto unitario baja y con el el precio de venta.
Por eso subir volumen y/o bajar gastos fijos mejora las 3 condiciones.</t>
      </text>
    </comment>
    <comment ref="A12" authorId="0" shapeId="0">
      <text>
        <t>Objetivo de estimar el precio (fuente 1): 'estimar el precio probable y, en funcion
de ello, tener una idea preliminar del volumen de recursos que el proyecto podria
generar en concepto de ingresos'.
Propiedad del modelo: como el precio se despeja de (1 - %infl - %margen), el MARGEN
NETO resultante es SIEMPRE igual al margen esperado (16,80%). Se verifica en la
plantilla, donde la fila 'MARGEN NETO' da 10% en todos los escenarios. Por tanto la
decision se juega en la condicion 1 (precio &lt; $21.400) y la 3 (utilidad &gt;= $75 M).</t>
      </text>
    </comment>
    <comment ref="E12" authorId="0" shapeId="0">
      <text>
        <t>Alternativa C: precio $21.337 frente al tope de $21.400 -&gt; solo $63 (0,3%) de margen.
Cumple, pero es fragil: cualquier desviacion minima de costo/gasto la vuelve inviable.</t>
      </text>
    </comment>
    <comment ref="A20" authorId="0" shapeId="0">
      <text>
        <t>Mismo criterio que usa la fuente para el pronostico: 'permite conocer las utilidades
de un proyecto (al restarle los futuros egresos a las futuras ventas) y, de ese modo,
conocer la viabilidad del proyecto'. Aqui: Utilidad neta = Utilidad bruta - Gastos
- Inflacion.</t>
      </text>
    </comment>
    <comment ref="A22" authorId="0" shapeId="0">
      <text>
        <t>Formula de la fuente 1 (imagen): MARGEN NETO = (UTILIDAD NETA / VENTAS NETAS) x 100.
Da 16,80% en la propuesta inicial y en las 4 alternativas =&gt; la condicion 2 se cumple
siempre con IGUALDAD; no sirve para desempatar entre alternativas.</t>
      </text>
    </comment>
    <comment ref="A25" authorId="0" shapeId="0">
      <text>
        <t>'NOTA IMPORTANTE: el proyecto debe cumplir las 3 condiciones o de lo contrario NO se
podra ejecutar' (enunciado, y misma nota en los ejercicios de la fuente 1). Basta
que falle una para descartar el escenario: la propuesta inicial falla aqui
(precio $21.898 &gt; $21.400).</t>
      </text>
    </comment>
    <comment ref="A28" authorId="0" shapeId="0">
      <text>
        <t>Precedente de la fuente 1 (Ejercicio 1, TRAPOS MALOS S.A.): 'la mejor alternativa
es la alternativa B... con estos datos se cumplen las 3 condiciones'; y la plantilla
solo rotula 'PROYECTO VIABLE DE EJECUTAR' al escenario que cumple las 3.
En ESTE taller las 4 alternativas (A, B, C y D) cumplen las 3, asi que se agrega un
criterio de desempate coherente con la fuente: (1) mayor utilidad neta -pronostico
de ingresos/viabilidad- y (2) holgura frente al tope de precio -'competir en base
del precio', fuente 1-. Gana A: utilidad ~$98,2 M (practicamente la mayor) y precio
5,5% bajo el tope. La C da $98,6 M pero su precio ($21.337) queda a $63 del limite.</t>
      </text>
    </comment>
    <comment ref="C28" authorId="0" shapeId="0">
      <text>
        <t>Alternativa A = mejor opcion. Sube volumen a 28.900 y baja costo unitario a $14.380
SIN tocar gastos fijos. Es la mas rentable de las robustas y la de implementacion
mas simple.</t>
      </text>
    </comment>
  </commentList>
</comments>
</file>

<file path=xl/comments/comment2.xml><?xml version="1.0" encoding="utf-8"?>
<comments xmlns="http://schemas.openxmlformats.org/spreadsheetml/2006/main">
  <authors>
    <author>Solucion (segun material Unidad 2)</author>
  </authors>
  <commentList>
    <comment ref="A1" authorId="0" shapeId="0">
      <text>
        <t>Definicion (fuente '2. Unidad2_Estudio de mercados.md'): 'El pronostico de ventas es
una estimacion de las ventas futuras... para un periodo determinado'; permite armar
el presupuesto de ventas y de ahi los de produccion, compras, personal y flujo de
efectivo, y 'conocer la viabilidad del proyecto'.
Metodo aplicado = 'Datos historicos / analisis de la tendencia' (crecenegocios.com,
citado en la fuente): se parte de un valor base y se le aplican variaciones % por
trimestre y por anio. 'En todos los proyectos se deben hacer pronosticos a corto,
mediano y largo plazo' (fuente 1) -&gt; aqui 5 anios.</t>
      </text>
    </comment>
    <comment ref="A5" authorId="0" shapeId="0">
      <text>
        <t>+7,80% 'por disminucion en los precios': factor 'Cambios en los precios' de la lista
de factores clave del pronostico (fuente 1). Metodo 'tendencias del mercado': tomar
como referencia el indice de precios al consumidor.</t>
      </text>
    </comment>
    <comment ref="A6" authorId="0" shapeId="0">
      <text>
        <t>-6,50% 'por disminucion en la poblacion': factor 'Crecimiento de la poblacion'
(fuente 1). La fuente 2 lo ejemplifica: 'si la tasa promedio anual de crecimiento
poblacional... es 4%, podriamos pronosticar que nuestras ventas cada anio tambien
tengan un crecimiento del 4%'. Aqui la poblacion baja, luego las ventas bajan.</t>
      </text>
    </comment>
    <comment ref="A7" authorId="0" shapeId="0">
      <text>
        <t>+8,45% 'por disminucion en la inflacion y disminucion del dolar': factores 'Cambios
en los precios' y 'Cambios en las divisas (importaciones y exportaciones)' de la
lista de 7 factores externos del pronostico (fuente 1).</t>
      </text>
    </comment>
    <comment ref="A8" authorId="0" shapeId="0">
      <text>
        <t>+11,38% en diciembre: estacionalidad. Fuente 1: 'podemos tener en cuenta otros
factores como la temporada; si el proximo mes es festivo y aumenta el consumo... las
ventas... aumenten en un 20%'. Fuente 2: 'Variables estacionales... festividades
tradicionales como la semana santa y la navidad'.</t>
      </text>
    </comment>
    <comment ref="A9" authorId="0" shapeId="0">
      <text>
        <t>Enlace entre anios: replica el patron de la plantilla ('Para el pronostico del anio
2016 se inicia... con un aumento del 10% de las ventas... del anio 2015; para los
siguientes trimestres se aplican las mismas politicas b,c,d,e'). 2022 arranca de
DICIEMBRE 2021 x (1 + 6,65%); luego se repiten b,c,d,e.</t>
      </text>
    </comment>
    <comment ref="A11" authorId="0" shapeId="0">
      <text>
        <t>OJO: el enunciado dice que 2024 arranca de las ventas de NOVIEMBRE de 2023 (no de
diciembre). Se toma literal: Enero 2024 = Nov 2023 x (1 - 11,68%).</t>
      </text>
    </comment>
    <comment ref="A15" authorId="0" shapeId="0">
      <text>
        <t>Mecanica de la plantilla (hoja 'PRONOSTICO DE VENTAS'): los 3 meses de cada trimestre
toman el MISMO valor; Abril = Marzo x (1 + %Q2); Julio = Junio x (1 + %Q3);
Oct y Nov = Sep x (1 + %); Diciembre = Noviembre x (1 + %Dic).
Acumulado del mes = acumulado del mes anterior + proyeccion del mes.</t>
      </text>
    </comment>
    <comment ref="A30" authorId="0" shapeId="0">
      <text>
        <t>'TOTAL ACUMULADO PARA LA PROYECCION DE LOS X ANIOS' de la plantilla = suma de los
totales anuales. Aqui: suma de los 5 totales (2021 a 2025).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PUNTO 1 - EJERCICIO SOBRE EL PRECIO DE VENTA  |  TRAPOS MALOS S.A.</t>
        </is>
      </c>
    </row>
    <row r="2">
      <c r="A2" s="2" t="inlineStr">
        <is>
          <t>Modelo de la plantilla de la unidad:  PRECIO DE VENTA = (Costo unitario + Gasto unitario) / (1 - %Inflacion - %Margen de utilidad)</t>
        </is>
      </c>
    </row>
    <row r="4">
      <c r="A4" s="3" t="inlineStr">
        <is>
          <t>CONCEPTO</t>
        </is>
      </c>
      <c r="B4" s="4" t="inlineStr">
        <is>
          <t>Propuesta inicial</t>
        </is>
      </c>
      <c r="C4" s="4" t="inlineStr">
        <is>
          <t>Alternativa A</t>
        </is>
      </c>
      <c r="D4" s="4" t="inlineStr">
        <is>
          <t>Alternativa B</t>
        </is>
      </c>
      <c r="E4" s="4" t="inlineStr">
        <is>
          <t>Alternativa C</t>
        </is>
      </c>
      <c r="F4" s="4" t="inlineStr">
        <is>
          <t>Alternativa D</t>
        </is>
      </c>
    </row>
    <row r="5">
      <c r="A5" s="5" t="inlineStr">
        <is>
          <t>Unidades a vender</t>
        </is>
      </c>
      <c r="B5" s="6" t="n">
        <v>22450</v>
      </c>
      <c r="C5" s="6" t="n">
        <v>28900</v>
      </c>
      <c r="D5" s="6" t="n">
        <v>28800</v>
      </c>
      <c r="E5" s="6" t="n">
        <v>27500</v>
      </c>
      <c r="F5" s="6" t="n">
        <v>28400</v>
      </c>
    </row>
    <row r="6">
      <c r="A6" s="5" t="inlineStr">
        <is>
          <t>Costo unitario ($)</t>
        </is>
      </c>
      <c r="B6" s="6" t="n">
        <v>15350</v>
      </c>
      <c r="C6" s="6" t="n">
        <v>14380</v>
      </c>
      <c r="D6" s="6" t="n">
        <v>14050</v>
      </c>
      <c r="E6" s="6" t="n">
        <v>15350</v>
      </c>
      <c r="F6" s="6" t="n">
        <v>14400</v>
      </c>
    </row>
    <row r="7">
      <c r="A7" s="5" t="inlineStr">
        <is>
          <t>Margen esperado inversionista (sobre ventas netas)</t>
        </is>
      </c>
      <c r="B7" s="7" t="n">
        <v>0.168</v>
      </c>
      <c r="C7" s="7" t="n">
        <v>0.168</v>
      </c>
      <c r="D7" s="7" t="n">
        <v>0.168</v>
      </c>
      <c r="E7" s="7" t="n">
        <v>0.168</v>
      </c>
      <c r="F7" s="7" t="n">
        <v>0.168</v>
      </c>
    </row>
    <row r="8">
      <c r="A8" s="5" t="inlineStr">
        <is>
          <t>Inflacion esperada (anual)</t>
        </is>
      </c>
      <c r="B8" s="7" t="n">
        <v>0.07000000000000001</v>
      </c>
      <c r="C8" s="7" t="n">
        <v>0.07000000000000001</v>
      </c>
      <c r="D8" s="7" t="n">
        <v>0.07000000000000001</v>
      </c>
      <c r="E8" s="7" t="n">
        <v>0.07000000000000001</v>
      </c>
      <c r="F8" s="7" t="n">
        <v>0.07000000000000001</v>
      </c>
    </row>
    <row r="9">
      <c r="A9" s="5" t="inlineStr">
        <is>
          <t>Gastos fijos totales ($)</t>
        </is>
      </c>
      <c r="B9" s="6" t="n">
        <v>30000000</v>
      </c>
      <c r="C9" s="6" t="n">
        <v>30000000</v>
      </c>
      <c r="D9" s="6" t="n">
        <v>20000000</v>
      </c>
      <c r="E9" s="6" t="n">
        <v>25000000</v>
      </c>
      <c r="F9" s="6" t="n">
        <v>21000000</v>
      </c>
    </row>
    <row r="11">
      <c r="A11" t="inlineStr">
        <is>
          <t>Gasto unitario  = Gastos fijos / Unidades</t>
        </is>
      </c>
      <c r="B11" s="8">
        <f>B9/B5</f>
        <v/>
      </c>
      <c r="C11" s="8">
        <f>C9/C5</f>
        <v/>
      </c>
      <c r="D11" s="8">
        <f>D9/D5</f>
        <v/>
      </c>
      <c r="E11" s="8">
        <f>E9/E5</f>
        <v/>
      </c>
      <c r="F11" s="8">
        <f>F9/F5</f>
        <v/>
      </c>
    </row>
    <row r="12">
      <c r="A12" s="5" t="inlineStr">
        <is>
          <t>PRECIO DE VENTA</t>
        </is>
      </c>
      <c r="B12" s="9">
        <f>(B6+B11)/(1-B8-B7)</f>
        <v/>
      </c>
      <c r="C12" s="9">
        <f>(C6+C11)/(1-C8-C7)</f>
        <v/>
      </c>
      <c r="D12" s="9">
        <f>(D6+D11)/(1-D8-D7)</f>
        <v/>
      </c>
      <c r="E12" s="9">
        <f>(E6+E11)/(1-E8-E7)</f>
        <v/>
      </c>
      <c r="F12" s="9">
        <f>(F6+F11)/(1-F8-F7)</f>
        <v/>
      </c>
    </row>
    <row r="14">
      <c r="A14" s="3" t="inlineStr">
        <is>
          <t>ESTADO DE RESULTADOS DEL PROYECTO</t>
        </is>
      </c>
    </row>
    <row r="15">
      <c r="A15" t="inlineStr">
        <is>
          <t>Ventas netas  = Unidades x Precio de venta</t>
        </is>
      </c>
      <c r="B15" s="8">
        <f>B5*B12</f>
        <v/>
      </c>
      <c r="C15" s="8">
        <f>C5*C12</f>
        <v/>
      </c>
      <c r="D15" s="8">
        <f>D5*D12</f>
        <v/>
      </c>
      <c r="E15" s="8">
        <f>E5*E12</f>
        <v/>
      </c>
      <c r="F15" s="8">
        <f>F5*F12</f>
        <v/>
      </c>
    </row>
    <row r="16">
      <c r="A16" t="inlineStr">
        <is>
          <t>(-) Costo de la mercancia vendida  = Unidades x Costo unitario</t>
        </is>
      </c>
      <c r="B16" s="8">
        <f>-B5*B6</f>
        <v/>
      </c>
      <c r="C16" s="8">
        <f>-C5*C6</f>
        <v/>
      </c>
      <c r="D16" s="8">
        <f>-D5*D6</f>
        <v/>
      </c>
      <c r="E16" s="8">
        <f>-E5*E6</f>
        <v/>
      </c>
      <c r="F16" s="8">
        <f>-F5*F6</f>
        <v/>
      </c>
    </row>
    <row r="17">
      <c r="A17" s="5" t="inlineStr">
        <is>
          <t>(=) Utilidad bruta</t>
        </is>
      </c>
      <c r="B17" s="10">
        <f>B15+B16</f>
        <v/>
      </c>
      <c r="C17" s="10">
        <f>C15+C16</f>
        <v/>
      </c>
      <c r="D17" s="10">
        <f>D15+D16</f>
        <v/>
      </c>
      <c r="E17" s="10">
        <f>E15+E16</f>
        <v/>
      </c>
      <c r="F17" s="10">
        <f>F15+F16</f>
        <v/>
      </c>
    </row>
    <row r="18">
      <c r="A18" t="inlineStr">
        <is>
          <t>(-) Gastos  = Unidades x Gasto unitario</t>
        </is>
      </c>
      <c r="B18" s="8">
        <f>-B5*B11</f>
        <v/>
      </c>
      <c r="C18" s="8">
        <f>-C5*C11</f>
        <v/>
      </c>
      <c r="D18" s="8">
        <f>-D5*D11</f>
        <v/>
      </c>
      <c r="E18" s="8">
        <f>-E5*E11</f>
        <v/>
      </c>
      <c r="F18" s="8">
        <f>-F5*F11</f>
        <v/>
      </c>
    </row>
    <row r="19">
      <c r="A19" t="inlineStr">
        <is>
          <t>(-) Inflacion  = Ventas netas x %Inflacion</t>
        </is>
      </c>
      <c r="B19" s="8">
        <f>-B15*B8</f>
        <v/>
      </c>
      <c r="C19" s="8">
        <f>-C15*C8</f>
        <v/>
      </c>
      <c r="D19" s="8">
        <f>-D15*D8</f>
        <v/>
      </c>
      <c r="E19" s="8">
        <f>-E15*E8</f>
        <v/>
      </c>
      <c r="F19" s="8">
        <f>-F15*F8</f>
        <v/>
      </c>
    </row>
    <row r="20">
      <c r="A20" s="5" t="inlineStr">
        <is>
          <t>(=) UTILIDAD NETA</t>
        </is>
      </c>
      <c r="B20" s="9">
        <f>B17+B18+B19</f>
        <v/>
      </c>
      <c r="C20" s="9">
        <f>C17+C18+C19</f>
        <v/>
      </c>
      <c r="D20" s="9">
        <f>D17+D18+D19</f>
        <v/>
      </c>
      <c r="E20" s="9">
        <f>E17+E18+E19</f>
        <v/>
      </c>
      <c r="F20" s="9">
        <f>F17+F18+F19</f>
        <v/>
      </c>
    </row>
    <row r="22">
      <c r="A22" s="5" t="inlineStr">
        <is>
          <t>MARGEN NETO  = Utilidad neta / Ventas netas</t>
        </is>
      </c>
      <c r="B22" s="11">
        <f>B20/B15</f>
        <v/>
      </c>
      <c r="C22" s="11">
        <f>C20/C15</f>
        <v/>
      </c>
      <c r="D22" s="11">
        <f>D20/D15</f>
        <v/>
      </c>
      <c r="E22" s="11">
        <f>E20/E15</f>
        <v/>
      </c>
      <c r="F22" s="11">
        <f>F20/F15</f>
        <v/>
      </c>
    </row>
    <row r="24">
      <c r="A24" s="3" t="inlineStr">
        <is>
          <t>VERIFICACION DE LAS 3 CONDICIONES</t>
        </is>
      </c>
    </row>
    <row r="25">
      <c r="A25" t="inlineStr">
        <is>
          <t>Condicion 1: Precio de venta &lt; $21.400</t>
        </is>
      </c>
      <c r="B25">
        <f>IF(B12&lt;21400,"CUMPLE","NO CUMPLE")</f>
        <v/>
      </c>
      <c r="C25">
        <f>IF(C12&lt;21400,"CUMPLE","NO CUMPLE")</f>
        <v/>
      </c>
      <c r="D25">
        <f>IF(D12&lt;21400,"CUMPLE","NO CUMPLE")</f>
        <v/>
      </c>
      <c r="E25">
        <f>IF(E12&lt;21400,"CUMPLE","NO CUMPLE")</f>
        <v/>
      </c>
      <c r="F25">
        <f>IF(F12&lt;21400,"CUMPLE","NO CUMPLE")</f>
        <v/>
      </c>
    </row>
    <row r="26">
      <c r="A26" t="inlineStr">
        <is>
          <t>Condicion 2: Margen neto &gt;= 16,80% sobre ventas netas</t>
        </is>
      </c>
      <c r="B26">
        <f>IF(B22&gt;=0.168-0.0000001,"CUMPLE","NO CUMPLE")</f>
        <v/>
      </c>
      <c r="C26">
        <f>IF(C22&gt;=0.168-0.0000001,"CUMPLE","NO CUMPLE")</f>
        <v/>
      </c>
      <c r="D26">
        <f>IF(D22&gt;=0.168-0.0000001,"CUMPLE","NO CUMPLE")</f>
        <v/>
      </c>
      <c r="E26">
        <f>IF(E22&gt;=0.168-0.0000001,"CUMPLE","NO CUMPLE")</f>
        <v/>
      </c>
      <c r="F26">
        <f>IF(F22&gt;=0.168-0.0000001,"CUMPLE","NO CUMPLE")</f>
        <v/>
      </c>
    </row>
    <row r="27">
      <c r="A27" t="inlineStr">
        <is>
          <t>Condicion 3: Utilidad neta &gt;= $75.000.000</t>
        </is>
      </c>
      <c r="B27">
        <f>IF(B20&gt;=75000000,"CUMPLE","NO CUMPLE")</f>
        <v/>
      </c>
      <c r="C27">
        <f>IF(C20&gt;=75000000,"CUMPLE","NO CUMPLE")</f>
        <v/>
      </c>
      <c r="D27">
        <f>IF(D20&gt;=75000000,"CUMPLE","NO CUMPLE")</f>
        <v/>
      </c>
      <c r="E27">
        <f>IF(E20&gt;=75000000,"CUMPLE","NO CUMPLE")</f>
        <v/>
      </c>
      <c r="F27">
        <f>IF(F20&gt;=75000000,"CUMPLE","NO CUMPLE")</f>
        <v/>
      </c>
    </row>
    <row r="28">
      <c r="A28" s="5" t="inlineStr">
        <is>
          <t>RESULTADO: se puede ejecutar (cumple las 3)</t>
        </is>
      </c>
      <c r="B28" s="5">
        <f>IF(AND(B25="CUMPLE",B26="CUMPLE",B27="CUMPLE"),"SI SE PUEDE EJECUTAR","NO SE PUEDE EJECUTAR")</f>
        <v/>
      </c>
      <c r="C28" s="5">
        <f>IF(AND(C25="CUMPLE",C26="CUMPLE",C27="CUMPLE"),"SI SE PUEDE EJECUTAR","NO SE PUEDE EJECUTAR")</f>
        <v/>
      </c>
      <c r="D28" s="5">
        <f>IF(AND(D25="CUMPLE",D26="CUMPLE",D27="CUMPLE"),"SI SE PUEDE EJECUTAR","NO SE PUEDE EJECUTAR")</f>
        <v/>
      </c>
      <c r="E28" s="5">
        <f>IF(AND(E25="CUMPLE",E26="CUMPLE",E27="CUMPLE"),"SI SE PUEDE EJECUTAR","NO SE PUEDE EJECUTAR")</f>
        <v/>
      </c>
      <c r="F28" s="5">
        <f>IF(AND(F25="CUMPLE",F26="CUMPLE",F27="CUMPLE"),"SI SE PUEDE EJECUTAR","NO SE PUEDE EJECUTAR")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PUNTO 2 - PRONOSTICO DE VENTAS 2021 a 2025</t>
        </is>
      </c>
    </row>
    <row r="3">
      <c r="A3" s="3" t="inlineStr">
        <is>
          <t>PARAMETROS DEL PRONOSTICO</t>
        </is>
      </c>
    </row>
    <row r="4">
      <c r="A4" t="inlineStr">
        <is>
          <t>Ventas base cada mes 1er trimestre 2021 ($)</t>
        </is>
      </c>
      <c r="B4" s="12" t="n">
        <v>60950000</v>
      </c>
    </row>
    <row r="5">
      <c r="A5" t="inlineStr">
        <is>
          <t>2do trimestre: variacion vs trim. anterior</t>
        </is>
      </c>
      <c r="B5" s="13" t="n">
        <v>0.078</v>
      </c>
    </row>
    <row r="6">
      <c r="A6" t="inlineStr">
        <is>
          <t>3er trimestre: variacion vs trim. anterior</t>
        </is>
      </c>
      <c r="B6" s="13" t="n">
        <v>-0.065</v>
      </c>
    </row>
    <row r="7">
      <c r="A7" t="inlineStr">
        <is>
          <t>Octubre y noviembre: variacion vs trim. anterior</t>
        </is>
      </c>
      <c r="B7" s="13" t="n">
        <v>0.08450000000000001</v>
      </c>
    </row>
    <row r="8">
      <c r="A8" t="inlineStr">
        <is>
          <t>Diciembre: variacion vs noviembre</t>
        </is>
      </c>
      <c r="B8" s="13" t="n">
        <v>0.1138</v>
      </c>
    </row>
    <row r="9">
      <c r="A9" t="inlineStr">
        <is>
          <t>Inicio 2022: variacion vs diciembre 2021</t>
        </is>
      </c>
      <c r="B9" s="13" t="n">
        <v>0.0665</v>
      </c>
    </row>
    <row r="10">
      <c r="A10" t="inlineStr">
        <is>
          <t>Inicio 2023: variacion vs diciembre 2022</t>
        </is>
      </c>
      <c r="B10" s="13" t="n">
        <v>-0.0935</v>
      </c>
    </row>
    <row r="11">
      <c r="A11" t="inlineStr">
        <is>
          <t>Inicio 2024: variacion vs noviembre 2023</t>
        </is>
      </c>
      <c r="B11" s="13" t="n">
        <v>-0.1168</v>
      </c>
    </row>
    <row r="12">
      <c r="A12" t="inlineStr">
        <is>
          <t>Inicio 2025: variacion vs diciembre 2024</t>
        </is>
      </c>
      <c r="B12" s="13" t="n">
        <v>0.0595</v>
      </c>
    </row>
    <row r="15">
      <c r="A15" s="3" t="inlineStr">
        <is>
          <t>MES</t>
        </is>
      </c>
      <c r="B15" s="4" t="inlineStr">
        <is>
          <t>2021 Proyeccion</t>
        </is>
      </c>
      <c r="C15" s="4" t="inlineStr">
        <is>
          <t>2021 Acumulado</t>
        </is>
      </c>
      <c r="D15" s="4" t="inlineStr">
        <is>
          <t>2022 Proyeccion</t>
        </is>
      </c>
      <c r="E15" s="4" t="inlineStr">
        <is>
          <t>2022 Acumulado</t>
        </is>
      </c>
      <c r="F15" s="4" t="inlineStr">
        <is>
          <t>2023 Proyeccion</t>
        </is>
      </c>
      <c r="G15" s="4" t="inlineStr">
        <is>
          <t>2023 Acumulado</t>
        </is>
      </c>
      <c r="H15" s="4" t="inlineStr">
        <is>
          <t>2024 Proyeccion</t>
        </is>
      </c>
      <c r="I15" s="4" t="inlineStr">
        <is>
          <t>2024 Acumulado</t>
        </is>
      </c>
      <c r="J15" s="4" t="inlineStr">
        <is>
          <t>2025 Proyeccion</t>
        </is>
      </c>
      <c r="K15" s="4" t="inlineStr">
        <is>
          <t>2025 Acumulado</t>
        </is>
      </c>
    </row>
    <row r="16">
      <c r="A16" s="5" t="inlineStr">
        <is>
          <t>ENERO</t>
        </is>
      </c>
      <c r="B16" s="8">
        <f>$B$4</f>
        <v/>
      </c>
      <c r="C16" s="8">
        <f>B16</f>
        <v/>
      </c>
      <c r="D16" s="8">
        <f>B27*(1+$B$9)</f>
        <v/>
      </c>
      <c r="E16" s="8">
        <f>D16</f>
        <v/>
      </c>
      <c r="F16" s="8">
        <f>D27*(1+$B$10)</f>
        <v/>
      </c>
      <c r="G16" s="8">
        <f>F16</f>
        <v/>
      </c>
      <c r="H16" s="8">
        <f>F26*(1+$B$11)</f>
        <v/>
      </c>
      <c r="I16" s="8">
        <f>H16</f>
        <v/>
      </c>
      <c r="J16" s="8">
        <f>H27*(1+$B$12)</f>
        <v/>
      </c>
      <c r="K16" s="8">
        <f>J16</f>
        <v/>
      </c>
    </row>
    <row r="17">
      <c r="A17" s="5" t="inlineStr">
        <is>
          <t>FEBRERO</t>
        </is>
      </c>
      <c r="B17" s="8">
        <f>B16</f>
        <v/>
      </c>
      <c r="C17" s="8">
        <f>C16+B17</f>
        <v/>
      </c>
      <c r="D17" s="8">
        <f>D16</f>
        <v/>
      </c>
      <c r="E17" s="8">
        <f>E16+D17</f>
        <v/>
      </c>
      <c r="F17" s="8">
        <f>F16</f>
        <v/>
      </c>
      <c r="G17" s="8">
        <f>G16+F17</f>
        <v/>
      </c>
      <c r="H17" s="8">
        <f>H16</f>
        <v/>
      </c>
      <c r="I17" s="8">
        <f>I16+H17</f>
        <v/>
      </c>
      <c r="J17" s="8">
        <f>J16</f>
        <v/>
      </c>
      <c r="K17" s="8">
        <f>K16+J17</f>
        <v/>
      </c>
    </row>
    <row r="18">
      <c r="A18" s="5" t="inlineStr">
        <is>
          <t>MARZO</t>
        </is>
      </c>
      <c r="B18" s="8">
        <f>B16</f>
        <v/>
      </c>
      <c r="C18" s="8">
        <f>C17+B18</f>
        <v/>
      </c>
      <c r="D18" s="8">
        <f>D16</f>
        <v/>
      </c>
      <c r="E18" s="8">
        <f>E17+D18</f>
        <v/>
      </c>
      <c r="F18" s="8">
        <f>F16</f>
        <v/>
      </c>
      <c r="G18" s="8">
        <f>G17+F18</f>
        <v/>
      </c>
      <c r="H18" s="8">
        <f>H16</f>
        <v/>
      </c>
      <c r="I18" s="8">
        <f>I17+H18</f>
        <v/>
      </c>
      <c r="J18" s="8">
        <f>J16</f>
        <v/>
      </c>
      <c r="K18" s="8">
        <f>K17+J18</f>
        <v/>
      </c>
    </row>
    <row r="19">
      <c r="A19" s="5" t="inlineStr">
        <is>
          <t>ABRIL</t>
        </is>
      </c>
      <c r="B19" s="8">
        <f>B18*(1+$B$5)</f>
        <v/>
      </c>
      <c r="C19" s="8">
        <f>C18+B19</f>
        <v/>
      </c>
      <c r="D19" s="8">
        <f>D18*(1+$B$5)</f>
        <v/>
      </c>
      <c r="E19" s="8">
        <f>E18+D19</f>
        <v/>
      </c>
      <c r="F19" s="8">
        <f>F18*(1+$B$5)</f>
        <v/>
      </c>
      <c r="G19" s="8">
        <f>G18+F19</f>
        <v/>
      </c>
      <c r="H19" s="8">
        <f>H18*(1+$B$5)</f>
        <v/>
      </c>
      <c r="I19" s="8">
        <f>I18+H19</f>
        <v/>
      </c>
      <c r="J19" s="8">
        <f>J18*(1+$B$5)</f>
        <v/>
      </c>
      <c r="K19" s="8">
        <f>K18+J19</f>
        <v/>
      </c>
    </row>
    <row r="20">
      <c r="A20" s="5" t="inlineStr">
        <is>
          <t>MAYO</t>
        </is>
      </c>
      <c r="B20" s="8">
        <f>B19</f>
        <v/>
      </c>
      <c r="C20" s="8">
        <f>C19+B20</f>
        <v/>
      </c>
      <c r="D20" s="8">
        <f>D19</f>
        <v/>
      </c>
      <c r="E20" s="8">
        <f>E19+D20</f>
        <v/>
      </c>
      <c r="F20" s="8">
        <f>F19</f>
        <v/>
      </c>
      <c r="G20" s="8">
        <f>G19+F20</f>
        <v/>
      </c>
      <c r="H20" s="8">
        <f>H19</f>
        <v/>
      </c>
      <c r="I20" s="8">
        <f>I19+H20</f>
        <v/>
      </c>
      <c r="J20" s="8">
        <f>J19</f>
        <v/>
      </c>
      <c r="K20" s="8">
        <f>K19+J20</f>
        <v/>
      </c>
    </row>
    <row r="21">
      <c r="A21" s="5" t="inlineStr">
        <is>
          <t>JUNIO</t>
        </is>
      </c>
      <c r="B21" s="8">
        <f>B19</f>
        <v/>
      </c>
      <c r="C21" s="8">
        <f>C20+B21</f>
        <v/>
      </c>
      <c r="D21" s="8">
        <f>D19</f>
        <v/>
      </c>
      <c r="E21" s="8">
        <f>E20+D21</f>
        <v/>
      </c>
      <c r="F21" s="8">
        <f>F19</f>
        <v/>
      </c>
      <c r="G21" s="8">
        <f>G20+F21</f>
        <v/>
      </c>
      <c r="H21" s="8">
        <f>H19</f>
        <v/>
      </c>
      <c r="I21" s="8">
        <f>I20+H21</f>
        <v/>
      </c>
      <c r="J21" s="8">
        <f>J19</f>
        <v/>
      </c>
      <c r="K21" s="8">
        <f>K20+J21</f>
        <v/>
      </c>
    </row>
    <row r="22">
      <c r="A22" s="5" t="inlineStr">
        <is>
          <t>JULIO</t>
        </is>
      </c>
      <c r="B22" s="8">
        <f>B21*(1+$B$6)</f>
        <v/>
      </c>
      <c r="C22" s="8">
        <f>C21+B22</f>
        <v/>
      </c>
      <c r="D22" s="8">
        <f>D21*(1+$B$6)</f>
        <v/>
      </c>
      <c r="E22" s="8">
        <f>E21+D22</f>
        <v/>
      </c>
      <c r="F22" s="8">
        <f>F21*(1+$B$6)</f>
        <v/>
      </c>
      <c r="G22" s="8">
        <f>G21+F22</f>
        <v/>
      </c>
      <c r="H22" s="8">
        <f>H21*(1+$B$6)</f>
        <v/>
      </c>
      <c r="I22" s="8">
        <f>I21+H22</f>
        <v/>
      </c>
      <c r="J22" s="8">
        <f>J21*(1+$B$6)</f>
        <v/>
      </c>
      <c r="K22" s="8">
        <f>K21+J22</f>
        <v/>
      </c>
    </row>
    <row r="23">
      <c r="A23" s="5" t="inlineStr">
        <is>
          <t>AGOSTO</t>
        </is>
      </c>
      <c r="B23" s="8">
        <f>B22</f>
        <v/>
      </c>
      <c r="C23" s="8">
        <f>C22+B23</f>
        <v/>
      </c>
      <c r="D23" s="8">
        <f>D22</f>
        <v/>
      </c>
      <c r="E23" s="8">
        <f>E22+D23</f>
        <v/>
      </c>
      <c r="F23" s="8">
        <f>F22</f>
        <v/>
      </c>
      <c r="G23" s="8">
        <f>G22+F23</f>
        <v/>
      </c>
      <c r="H23" s="8">
        <f>H22</f>
        <v/>
      </c>
      <c r="I23" s="8">
        <f>I22+H23</f>
        <v/>
      </c>
      <c r="J23" s="8">
        <f>J22</f>
        <v/>
      </c>
      <c r="K23" s="8">
        <f>K22+J23</f>
        <v/>
      </c>
    </row>
    <row r="24">
      <c r="A24" s="5" t="inlineStr">
        <is>
          <t>SEPTIEMBRE</t>
        </is>
      </c>
      <c r="B24" s="8">
        <f>B22</f>
        <v/>
      </c>
      <c r="C24" s="8">
        <f>C23+B24</f>
        <v/>
      </c>
      <c r="D24" s="8">
        <f>D22</f>
        <v/>
      </c>
      <c r="E24" s="8">
        <f>E23+D24</f>
        <v/>
      </c>
      <c r="F24" s="8">
        <f>F22</f>
        <v/>
      </c>
      <c r="G24" s="8">
        <f>G23+F24</f>
        <v/>
      </c>
      <c r="H24" s="8">
        <f>H22</f>
        <v/>
      </c>
      <c r="I24" s="8">
        <f>I23+H24</f>
        <v/>
      </c>
      <c r="J24" s="8">
        <f>J22</f>
        <v/>
      </c>
      <c r="K24" s="8">
        <f>K23+J24</f>
        <v/>
      </c>
    </row>
    <row r="25">
      <c r="A25" s="5" t="inlineStr">
        <is>
          <t>OCTUBRE</t>
        </is>
      </c>
      <c r="B25" s="8">
        <f>B24*(1+$B$7)</f>
        <v/>
      </c>
      <c r="C25" s="8">
        <f>C24+B25</f>
        <v/>
      </c>
      <c r="D25" s="8">
        <f>D24*(1+$B$7)</f>
        <v/>
      </c>
      <c r="E25" s="8">
        <f>E24+D25</f>
        <v/>
      </c>
      <c r="F25" s="8">
        <f>F24*(1+$B$7)</f>
        <v/>
      </c>
      <c r="G25" s="8">
        <f>G24+F25</f>
        <v/>
      </c>
      <c r="H25" s="8">
        <f>H24*(1+$B$7)</f>
        <v/>
      </c>
      <c r="I25" s="8">
        <f>I24+H25</f>
        <v/>
      </c>
      <c r="J25" s="8">
        <f>J24*(1+$B$7)</f>
        <v/>
      </c>
      <c r="K25" s="8">
        <f>K24+J25</f>
        <v/>
      </c>
    </row>
    <row r="26">
      <c r="A26" s="5" t="inlineStr">
        <is>
          <t>NOVIEMBRE</t>
        </is>
      </c>
      <c r="B26" s="8">
        <f>B25</f>
        <v/>
      </c>
      <c r="C26" s="8">
        <f>C25+B26</f>
        <v/>
      </c>
      <c r="D26" s="8">
        <f>D25</f>
        <v/>
      </c>
      <c r="E26" s="8">
        <f>E25+D26</f>
        <v/>
      </c>
      <c r="F26" s="8">
        <f>F25</f>
        <v/>
      </c>
      <c r="G26" s="8">
        <f>G25+F26</f>
        <v/>
      </c>
      <c r="H26" s="8">
        <f>H25</f>
        <v/>
      </c>
      <c r="I26" s="8">
        <f>I25+H26</f>
        <v/>
      </c>
      <c r="J26" s="8">
        <f>J25</f>
        <v/>
      </c>
      <c r="K26" s="8">
        <f>K25+J26</f>
        <v/>
      </c>
    </row>
    <row r="27">
      <c r="A27" s="5" t="inlineStr">
        <is>
          <t>DICIEMBRE</t>
        </is>
      </c>
      <c r="B27" s="8">
        <f>B26*(1+$B$8)</f>
        <v/>
      </c>
      <c r="C27" s="8">
        <f>C26+B27</f>
        <v/>
      </c>
      <c r="D27" s="8">
        <f>D26*(1+$B$8)</f>
        <v/>
      </c>
      <c r="E27" s="8">
        <f>E26+D27</f>
        <v/>
      </c>
      <c r="F27" s="8">
        <f>F26*(1+$B$8)</f>
        <v/>
      </c>
      <c r="G27" s="8">
        <f>G26+F27</f>
        <v/>
      </c>
      <c r="H27" s="8">
        <f>H26*(1+$B$8)</f>
        <v/>
      </c>
      <c r="I27" s="8">
        <f>I26+H27</f>
        <v/>
      </c>
      <c r="J27" s="8">
        <f>J26*(1+$B$8)</f>
        <v/>
      </c>
      <c r="K27" s="8">
        <f>K26+J27</f>
        <v/>
      </c>
    </row>
    <row r="28">
      <c r="A28" s="5" t="inlineStr">
        <is>
          <t>TOTAL ANUAL</t>
        </is>
      </c>
      <c r="B28" s="9">
        <f>SUM(B16:B27)</f>
        <v/>
      </c>
      <c r="D28" s="9">
        <f>SUM(D16:D27)</f>
        <v/>
      </c>
      <c r="F28" s="9">
        <f>SUM(F16:F27)</f>
        <v/>
      </c>
      <c r="H28" s="9">
        <f>SUM(H16:H27)</f>
        <v/>
      </c>
      <c r="J28" s="9">
        <f>SUM(J16:J27)</f>
        <v/>
      </c>
    </row>
    <row r="30">
      <c r="A30" s="5" t="inlineStr">
        <is>
          <t>PRONOSTICO DE VENTAS TOTAL 2021-2025 ($)</t>
        </is>
      </c>
      <c r="B30" s="14">
        <f>B28+D28+F28+H28+J28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PUNTO 1 - PRECIO DE VENTA</t>
        </is>
      </c>
    </row>
    <row r="2">
      <c r="A2" t="inlineStr"/>
    </row>
    <row r="3">
      <c r="A3" s="5" t="inlineStr">
        <is>
          <t>a) El proyecto inicial NO se puede ejecutar.</t>
        </is>
      </c>
    </row>
    <row r="4">
      <c r="A4" t="inlineStr">
        <is>
          <t xml:space="preserve">   Precio de venta = $21.898  -&gt;  NO cumple la condicion 1 (debe ser &lt; $21.400).</t>
        </is>
      </c>
    </row>
    <row r="5">
      <c r="A5" t="inlineStr">
        <is>
          <t xml:space="preserve">   Margen neto = 16,80%  -&gt;  cumple la condicion 2 (&gt;= 16,80%).</t>
        </is>
      </c>
    </row>
    <row r="6">
      <c r="A6" t="inlineStr">
        <is>
          <t xml:space="preserve">   Utilidad neta = $82.590.624  -&gt;  cumple la condicion 3 (&gt;= $75.000.000).</t>
        </is>
      </c>
    </row>
    <row r="7">
      <c r="A7" t="inlineStr">
        <is>
          <t xml:space="preserve">   Al incumplir una de las 3 condiciones, el proyecto inicial no es viable.</t>
        </is>
      </c>
    </row>
    <row r="8">
      <c r="A8" t="inlineStr"/>
    </row>
    <row r="9">
      <c r="A9" s="5" t="inlineStr">
        <is>
          <t>b) Evaluacion de las 4 alternativas (margen esperado 16,80% e inflacion 7,00% en todas).</t>
        </is>
      </c>
    </row>
    <row r="10">
      <c r="A10" t="inlineStr">
        <is>
          <t xml:space="preserve">   Recordatorio: hay que cumplir las 3 condiciones -&gt; precio &lt; $21.400 ; margen &gt;= 16,80% ;</t>
        </is>
      </c>
    </row>
    <row r="11">
      <c r="A11" t="inlineStr">
        <is>
          <t xml:space="preserve">   utilidad neta &gt;= $75.000.000. En este modelo el margen neto siempre da 16,80% (cond. 2</t>
        </is>
      </c>
    </row>
    <row r="12">
      <c r="A12" t="inlineStr">
        <is>
          <t xml:space="preserve">   se cumple por construccion), asi que decide la condicion 1 (precio) y la 3 (utilidad).</t>
        </is>
      </c>
    </row>
    <row r="13">
      <c r="A13" t="inlineStr"/>
    </row>
    <row r="14">
      <c r="A14" s="5" t="inlineStr">
        <is>
          <t xml:space="preserve">   ALTERNATIVA A: 28.900 uds ; costo unitario $14.380 ; gastos fijos $30.000.000 (sin cambio).</t>
        </is>
      </c>
    </row>
    <row r="15">
      <c r="A15" t="inlineStr">
        <is>
          <t xml:space="preserve">      Gasto unitario $1.038  -&gt;  Precio de venta = $20.234</t>
        </is>
      </c>
    </row>
    <row r="16">
      <c r="A16" t="inlineStr">
        <is>
          <t xml:space="preserve">      Cond. 1: $20.234 &lt; $21.400 ......... CUMPLE (holgura 5,5%)</t>
        </is>
      </c>
    </row>
    <row r="17">
      <c r="A17" t="inlineStr">
        <is>
          <t xml:space="preserve">      Cond. 2: margen neto 16,80% ........ CUMPLE</t>
        </is>
      </c>
    </row>
    <row r="18">
      <c r="A18" t="inlineStr">
        <is>
          <t xml:space="preserve">      Cond. 3: utilidad neta $98.238.551 . CUMPLE (&gt;= $75.000.000)</t>
        </is>
      </c>
    </row>
    <row r="19">
      <c r="A19" t="inlineStr">
        <is>
          <t xml:space="preserve">      RESULTADO: SI se puede ejecutar (cumple las 3).</t>
        </is>
      </c>
    </row>
    <row r="20">
      <c r="A20" t="inlineStr"/>
    </row>
    <row r="21">
      <c r="A21" s="5" t="inlineStr">
        <is>
          <t xml:space="preserve">   ALTERNATIVA B: 28.800 uds ; costo unitario $14.050 ; gastos fijos $20.000.000.</t>
        </is>
      </c>
    </row>
    <row r="22">
      <c r="A22" t="inlineStr">
        <is>
          <t xml:space="preserve">      Gasto unitario $694  -&gt;  Precio de venta = $19.350</t>
        </is>
      </c>
    </row>
    <row r="23">
      <c r="A23" t="inlineStr">
        <is>
          <t xml:space="preserve">      Cond. 1: $19.350 &lt; $21.400 ......... CUMPLE (holgura 9,6%)</t>
        </is>
      </c>
    </row>
    <row r="24">
      <c r="A24" t="inlineStr">
        <is>
          <t xml:space="preserve">      Cond. 2: margen neto 16,80% ........ CUMPLE</t>
        </is>
      </c>
    </row>
    <row r="25">
      <c r="A25" t="inlineStr">
        <is>
          <t xml:space="preserve">      Cond. 3: utilidad neta $93.621.417 . CUMPLE</t>
        </is>
      </c>
    </row>
    <row r="26">
      <c r="A26" t="inlineStr">
        <is>
          <t xml:space="preserve">      RESULTADO: SI se puede ejecutar (cumple las 3).</t>
        </is>
      </c>
    </row>
    <row r="27">
      <c r="A27" t="inlineStr"/>
    </row>
    <row r="28">
      <c r="A28" s="5" t="inlineStr">
        <is>
          <t xml:space="preserve">   ALTERNATIVA C: 27.500 uds ; costo unitario $15.350 (sin cambio) ; gastos fijos $25.000.000.</t>
        </is>
      </c>
    </row>
    <row r="29">
      <c r="A29" t="inlineStr">
        <is>
          <t xml:space="preserve">      Gasto unitario $909  -&gt;  Precio de venta = $21.337</t>
        </is>
      </c>
    </row>
    <row r="30">
      <c r="A30" t="inlineStr">
        <is>
          <t xml:space="preserve">      Cond. 1: $21.337 &lt; $21.400 ......... CUMPLE (pero a solo $63 del tope, 0,3%)</t>
        </is>
      </c>
    </row>
    <row r="31">
      <c r="A31" t="inlineStr">
        <is>
          <t xml:space="preserve">      Cond. 2: margen neto 16,80% ........ CUMPLE</t>
        </is>
      </c>
    </row>
    <row r="32">
      <c r="A32" t="inlineStr">
        <is>
          <t xml:space="preserve">      Cond. 3: utilidad neta $98.578.740 . CUMPLE (la mas alta de las cuatro)</t>
        </is>
      </c>
    </row>
    <row r="33">
      <c r="A33" t="inlineStr">
        <is>
          <t xml:space="preserve">      RESULTADO: SI se puede ejecutar (cumple las 3), pero con precio al limite.</t>
        </is>
      </c>
    </row>
    <row r="34">
      <c r="A34" t="inlineStr"/>
    </row>
    <row r="35">
      <c r="A35" s="5" t="inlineStr">
        <is>
          <t xml:space="preserve">   ALTERNATIVA D: 28.400 uds ; costo unitario $14.400 ; gastos fijos $21.000.000.</t>
        </is>
      </c>
    </row>
    <row r="36">
      <c r="A36" t="inlineStr">
        <is>
          <t xml:space="preserve">      Gasto unitario $739  -&gt;  Precio de venta = $19.868</t>
        </is>
      </c>
    </row>
    <row r="37">
      <c r="A37" t="inlineStr">
        <is>
          <t xml:space="preserve">      Cond. 1: $19.868 &lt; $21.400 ......... CUMPLE (holgura 7,2%)</t>
        </is>
      </c>
    </row>
    <row r="38">
      <c r="A38" t="inlineStr">
        <is>
          <t xml:space="preserve">      Cond. 2: margen neto 16,80% ........ CUMPLE</t>
        </is>
      </c>
    </row>
    <row r="39">
      <c r="A39" t="inlineStr">
        <is>
          <t xml:space="preserve">      Cond. 3: utilidad neta $94.794.331 . CUMPLE</t>
        </is>
      </c>
    </row>
    <row r="40">
      <c r="A40" t="inlineStr">
        <is>
          <t xml:space="preserve">      RESULTADO: SI se puede ejecutar (cumple las 3).</t>
        </is>
      </c>
    </row>
    <row r="41">
      <c r="A41" t="inlineStr"/>
    </row>
    <row r="42">
      <c r="A42" s="5" t="inlineStr">
        <is>
          <t xml:space="preserve">   COMPARACION:</t>
        </is>
      </c>
    </row>
    <row r="43">
      <c r="A43" t="inlineStr">
        <is>
          <t xml:space="preserve">      Alt.  Precio de venta   Utilidad neta     Holgura precio</t>
        </is>
      </c>
    </row>
    <row r="44">
      <c r="A44" t="inlineStr">
        <is>
          <t xml:space="preserve">      A       $20.234          $98.238.551        5,5%</t>
        </is>
      </c>
    </row>
    <row r="45">
      <c r="A45" t="inlineStr">
        <is>
          <t xml:space="preserve">      B       $19.350          $93.621.417        9,6%</t>
        </is>
      </c>
    </row>
    <row r="46">
      <c r="A46" t="inlineStr">
        <is>
          <t xml:space="preserve">      C       $21.337          $98.578.740        0,3%</t>
        </is>
      </c>
    </row>
    <row r="47">
      <c r="A47" t="inlineStr">
        <is>
          <t xml:space="preserve">      D       $19.868          $94.794.331        7,2%</t>
        </is>
      </c>
    </row>
    <row r="48">
      <c r="A48" t="inlineStr"/>
    </row>
    <row r="49">
      <c r="A49" s="5" t="inlineStr">
        <is>
          <t xml:space="preserve">   SELECCION: la mejor alternativa es la A.</t>
        </is>
      </c>
    </row>
    <row r="50">
      <c r="A50" t="inlineStr">
        <is>
          <t xml:space="preserve">      Las cuatro cumplen las 3 condiciones. Se elige A porque:</t>
        </is>
      </c>
    </row>
    <row r="51">
      <c r="A51" t="inlineStr">
        <is>
          <t xml:space="preserve">      - Entrega practicamente la mayor utilidad neta ($98,2 M): solo 0,3% por debajo de la C</t>
        </is>
      </c>
    </row>
    <row r="52">
      <c r="A52" t="inlineStr">
        <is>
          <t xml:space="preserve">        ($98,6 M) y muy por encima de B ($93,6 M) y D ($94,8 M).</t>
        </is>
      </c>
    </row>
    <row r="53">
      <c r="A53" t="inlineStr">
        <is>
          <t xml:space="preserve">      - Su precio queda holgado frente al tope (5,5%). La C, que da la utilidad mas alta,</t>
        </is>
      </c>
    </row>
    <row r="54">
      <c r="A54" t="inlineStr">
        <is>
          <t xml:space="preserve">        queda a solo $63 del limite: cualquier desviacion minima de costo/gasto la vuelve</t>
        </is>
      </c>
    </row>
    <row r="55">
      <c r="A55" t="inlineStr">
        <is>
          <t xml:space="preserve">        inviable. La A logra casi la misma utilidad sin ese riesgo.</t>
        </is>
      </c>
    </row>
    <row r="56">
      <c r="A56" t="inlineStr">
        <is>
          <t xml:space="preserve">      - Es la de implementacion mas simple: sube volumen y baja el costo unitario, sin</t>
        </is>
      </c>
    </row>
    <row r="57">
      <c r="A57" t="inlineStr">
        <is>
          <t xml:space="preserve">        recortar gastos fijos (B, C y D si los recortan).</t>
        </is>
      </c>
    </row>
    <row r="58">
      <c r="A58" t="inlineStr">
        <is>
          <t xml:space="preserve">      Nota: si el docente pondera solo 'mayor utilidad', la respuesta seria la C, con la</t>
        </is>
      </c>
    </row>
    <row r="59">
      <c r="A59" t="inlineStr">
        <is>
          <t xml:space="preserve">      salvedad de que su precio queda al limite de la condicion 1.</t>
        </is>
      </c>
    </row>
    <row r="60">
      <c r="A60" t="inlineStr"/>
    </row>
    <row r="61">
      <c r="A61" s="1" t="inlineStr">
        <is>
          <t>PUNTO 2 - PRONOSTICO DE VENTAS</t>
        </is>
      </c>
    </row>
    <row r="62">
      <c r="A62" t="inlineStr"/>
    </row>
    <row r="63">
      <c r="A63" s="5" t="inlineStr">
        <is>
          <t>Pronostico de ventas por año:</t>
        </is>
      </c>
    </row>
    <row r="64">
      <c r="A64" t="inlineStr">
        <is>
          <t xml:space="preserve">   2021:  $771.717.513</t>
        </is>
      </c>
    </row>
    <row r="65">
      <c r="A65" t="inlineStr">
        <is>
          <t xml:space="preserve">   2022:  $1.002.042.998</t>
        </is>
      </c>
    </row>
    <row r="66">
      <c r="A66" t="inlineStr">
        <is>
          <t xml:space="preserve">   2023:  $1.105.913.877</t>
        </is>
      </c>
    </row>
    <row r="67">
      <c r="A67" t="inlineStr">
        <is>
          <t xml:space="preserve">   2024:  $1.067.678.006</t>
        </is>
      </c>
    </row>
    <row r="68">
      <c r="A68" t="inlineStr">
        <is>
          <t xml:space="preserve">   2025:  $1.377.236.103</t>
        </is>
      </c>
    </row>
    <row r="69">
      <c r="A69" t="inlineStr"/>
    </row>
    <row r="70">
      <c r="A70" s="15" t="inlineStr">
        <is>
          <t>PRONOSTICO DE VENTAS TOTAL DE LOS 5 AÑOS (2021-2025):  $5.324.588.498</t>
        </is>
      </c>
    </row>
    <row r="71">
      <c r="A71" t="inlineStr"/>
    </row>
    <row r="72">
      <c r="A72" t="inlineStr">
        <is>
          <t>Metodo: base $60.950.000 mensual en el 1er trimestre de 2021; 2do trim +7,80% vs 1er trim;</t>
        </is>
      </c>
    </row>
    <row r="73">
      <c r="A73" t="inlineStr">
        <is>
          <t>3er trim -6,50% vs 2do trim; octubre y noviembre +8,45% vs 3er trim; diciembre +11,38% vs</t>
        </is>
      </c>
    </row>
    <row r="74">
      <c r="A74" t="inlineStr">
        <is>
          <t>noviembre. El inicio de cada año siguiente parte del mes indicado del año anterior: 2022 =</t>
        </is>
      </c>
    </row>
    <row r="75">
      <c r="A75" t="inlineStr">
        <is>
          <t>dic-2021 +6,65%; 2023 = dic-2022 -9,35%; 2024 = nov-2023 -11,68%; 2025 = dic-2024 +5,95%;</t>
        </is>
      </c>
    </row>
    <row r="76">
      <c r="A76" t="inlineStr">
        <is>
          <t>y sobre esa nueva base se repiten las politicas b, c, d y e de cada año.</t>
        </is>
      </c>
    </row>
    <row r="79">
      <c r="A79" s="5" t="inlineStr">
        <is>
          <t>FUENTES CONSULTADAS (carpeta fuentes/ de la Unidad 2)</t>
        </is>
      </c>
    </row>
    <row r="80">
      <c r="A80" t="inlineStr">
        <is>
          <t>- 1. Precios, demanda potencial y pronostico de ventas.md  -&gt; formulas de precio (1.1, 1.2, 1.3),</t>
        </is>
      </c>
    </row>
    <row r="81">
      <c r="A81" t="inlineStr">
        <is>
          <t xml:space="preserve">     formula del margen neto, lista de factores del pronostico, ejercicios de repaso de TRAPOS MALOS S.A.</t>
        </is>
      </c>
    </row>
    <row r="82">
      <c r="A82" t="inlineStr">
        <is>
          <t>- 2. Plantilla_Precios_Demanda_Pronosticos.xlsx  -&gt; estructura de los cuadros de Precio de venta y de</t>
        </is>
      </c>
    </row>
    <row r="83">
      <c r="A83" t="inlineStr">
        <is>
          <t xml:space="preserve">     Pronostico de ventas (hojas 'PRECIOS DE VENTA' y 'PRONOSTICO DE VENTAS'); gasto unitario = gastos fijos / unidades.</t>
        </is>
      </c>
    </row>
    <row r="84">
      <c r="A84" t="inlineStr">
        <is>
          <t>- 2. Unidad2_Estudio de mercados.md  -&gt; definicion y metodos del pronostico (datos historicos, tendencias</t>
        </is>
      </c>
    </row>
    <row r="85">
      <c r="A85" t="inlineStr">
        <is>
          <t xml:space="preserve">     del mercado, ventas potenciales), ejemplo resuelto de pronostico 2015-2016, variables estacionales.</t>
        </is>
      </c>
    </row>
    <row r="86">
      <c r="A86" t="inlineStr">
        <is>
          <t>- 1. Unidad2_Estudio de mercado.md  -&gt; precios y margenes comerciales, costos fijos vs variables, punto de equilibrio.</t>
        </is>
      </c>
    </row>
    <row r="87">
      <c r="A87" t="inlineStr">
        <is>
          <t>- Bibliografia de la fuente 1: Marcial Cordoba Padilla, 'Formulacion y evaluacion de proyectos', Ecoe Ediciones, 2011.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2026-08-31T02:47:04Z</dcterms:created>
  <dcterms:modified xmlns:dcterms="http://purl.org/dc/terms/" xmlns:xsi="http://www.w3.org/2001/XMLSchema-instance" xsi:type="dcterms:W3CDTF">2026-08-31T02:47:04Z</dcterms:modified>
</cp:coreProperties>
</file>