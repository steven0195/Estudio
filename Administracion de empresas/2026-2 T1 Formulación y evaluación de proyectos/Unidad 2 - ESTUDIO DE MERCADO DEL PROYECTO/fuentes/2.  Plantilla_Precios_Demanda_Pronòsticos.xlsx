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13_ncr:1_{F433CE41-4860-45AB-ADEC-27CD0D11481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RECIOS DE VENTADEL PROYECTO" sheetId="1" r:id="rId1"/>
    <sheet name="DEMANDA POTENCIAL DEL MERCADO" sheetId="2" r:id="rId2"/>
    <sheet name="PONÒSTICO DE VENTAS" sheetId="3" r:id="rId3"/>
  </sheets>
  <calcPr calcId="191029"/>
</workbook>
</file>

<file path=xl/calcChain.xml><?xml version="1.0" encoding="utf-8"?>
<calcChain xmlns="http://schemas.openxmlformats.org/spreadsheetml/2006/main">
  <c r="D36" i="2" l="1"/>
  <c r="E36" i="2"/>
  <c r="F36" i="2"/>
  <c r="G36" i="2"/>
  <c r="H36" i="2"/>
  <c r="C36" i="2"/>
  <c r="D6" i="2" l="1"/>
  <c r="D9" i="2" s="1"/>
  <c r="D11" i="2" s="1"/>
  <c r="E6" i="2"/>
  <c r="E9" i="2" s="1"/>
  <c r="E11" i="2" s="1"/>
  <c r="F6" i="2"/>
  <c r="F9" i="2" s="1"/>
  <c r="F11" i="2" s="1"/>
  <c r="C6" i="2"/>
  <c r="C9" i="2" s="1"/>
  <c r="C11" i="2" s="1"/>
  <c r="C21" i="2"/>
  <c r="D21" i="2"/>
  <c r="E21" i="2"/>
  <c r="F21" i="2"/>
  <c r="G21" i="2"/>
  <c r="H21" i="2"/>
  <c r="I21" i="2"/>
  <c r="B14" i="2" l="1"/>
  <c r="I24" i="2"/>
  <c r="I26" i="2" s="1"/>
  <c r="H24" i="2"/>
  <c r="H26" i="2" s="1"/>
  <c r="G24" i="2"/>
  <c r="G26" i="2" s="1"/>
  <c r="L6" i="3" l="1"/>
  <c r="O6" i="3" s="1"/>
  <c r="L7" i="3"/>
  <c r="L10" i="3" s="1"/>
  <c r="L12" i="3" s="1"/>
  <c r="L5" i="3"/>
  <c r="M5" i="3" s="1"/>
  <c r="M6" i="3" s="1"/>
  <c r="M7" i="3" s="1"/>
  <c r="M8" i="3" l="1"/>
  <c r="M9" i="3" s="1"/>
  <c r="M10" i="3" s="1"/>
  <c r="M11" i="3" s="1"/>
  <c r="M12" i="3" s="1"/>
  <c r="M13" i="3" s="1"/>
  <c r="O5" i="3"/>
  <c r="P5" i="3" s="1"/>
  <c r="P6" i="3" s="1"/>
  <c r="P7" i="3" s="1"/>
  <c r="P8" i="3" s="1"/>
  <c r="P9" i="3" s="1"/>
  <c r="P10" i="3" s="1"/>
  <c r="P11" i="3" s="1"/>
  <c r="O7" i="3"/>
  <c r="O9" i="3" s="1"/>
  <c r="L9" i="3"/>
  <c r="L8" i="3"/>
  <c r="L11" i="3" s="1"/>
  <c r="O8" i="3"/>
  <c r="O11" i="3" s="1"/>
  <c r="O10" i="3"/>
  <c r="L13" i="3"/>
  <c r="J5" i="3"/>
  <c r="J6" i="3" s="1"/>
  <c r="J7" i="3" s="1"/>
  <c r="J8" i="3" s="1"/>
  <c r="J9" i="3" s="1"/>
  <c r="J10" i="3" s="1"/>
  <c r="J11" i="3" s="1"/>
  <c r="J12" i="3" s="1"/>
  <c r="J13" i="3" s="1"/>
  <c r="I13" i="3"/>
  <c r="I15" i="3" s="1"/>
  <c r="I16" i="3" s="1"/>
  <c r="I10" i="3"/>
  <c r="I12" i="3" s="1"/>
  <c r="I9" i="3"/>
  <c r="I8" i="3"/>
  <c r="I11" i="3" s="1"/>
  <c r="I14" i="3" l="1"/>
  <c r="J14" i="3" s="1"/>
  <c r="J15" i="3" s="1"/>
  <c r="J16" i="3" s="1"/>
  <c r="O13" i="3"/>
  <c r="O12" i="3"/>
  <c r="P12" i="3" s="1"/>
  <c r="L15" i="3"/>
  <c r="L16" i="3" s="1"/>
  <c r="L14" i="3"/>
  <c r="M14" i="3" s="1"/>
  <c r="P13" i="3" l="1"/>
  <c r="O15" i="3"/>
  <c r="O16" i="3" s="1"/>
  <c r="O14" i="3"/>
  <c r="M15" i="3"/>
  <c r="M16" i="3" s="1"/>
  <c r="E6" i="3"/>
  <c r="E7" i="3"/>
  <c r="E8" i="3" s="1"/>
  <c r="E5" i="3"/>
  <c r="F5" i="3" s="1"/>
  <c r="F6" i="3" s="1"/>
  <c r="F7" i="3" s="1"/>
  <c r="C5" i="3"/>
  <c r="C6" i="3" s="1"/>
  <c r="C7" i="3" s="1"/>
  <c r="C8" i="3" s="1"/>
  <c r="C9" i="3" s="1"/>
  <c r="C10" i="3" s="1"/>
  <c r="C11" i="3" s="1"/>
  <c r="C12" i="3" s="1"/>
  <c r="C13" i="3" s="1"/>
  <c r="C14" i="3" s="1"/>
  <c r="C15" i="3" s="1"/>
  <c r="B9" i="3"/>
  <c r="B10" i="3" s="1"/>
  <c r="B11" i="3" s="1"/>
  <c r="B12" i="3" s="1"/>
  <c r="B13" i="3" s="1"/>
  <c r="B14" i="3" s="1"/>
  <c r="B15" i="3" s="1"/>
  <c r="B16" i="3" s="1"/>
  <c r="B8" i="3"/>
  <c r="E10" i="3" l="1"/>
  <c r="E11" i="3" s="1"/>
  <c r="E12" i="3" s="1"/>
  <c r="E13" i="3" s="1"/>
  <c r="E14" i="3" s="1"/>
  <c r="E15" i="3" s="1"/>
  <c r="E16" i="3" s="1"/>
  <c r="E9" i="3"/>
  <c r="F8" i="3"/>
  <c r="P14" i="3"/>
  <c r="P15" i="3" s="1"/>
  <c r="P16" i="3" s="1"/>
  <c r="M18" i="3" s="1"/>
  <c r="F9" i="3"/>
  <c r="F10" i="3" s="1"/>
  <c r="F11" i="3" s="1"/>
  <c r="F12" i="3" s="1"/>
  <c r="F13" i="3" s="1"/>
  <c r="F14" i="3" s="1"/>
  <c r="F15" i="3" s="1"/>
  <c r="H39" i="2" l="1"/>
  <c r="H41" i="2" s="1"/>
  <c r="G39" i="2"/>
  <c r="G41" i="2" s="1"/>
  <c r="F39" i="2"/>
  <c r="F41" i="2" s="1"/>
  <c r="E39" i="2"/>
  <c r="E41" i="2" s="1"/>
  <c r="D39" i="2"/>
  <c r="D41" i="2" s="1"/>
  <c r="C39" i="2"/>
  <c r="C41" i="2" s="1"/>
  <c r="F24" i="2"/>
  <c r="F26" i="2" s="1"/>
  <c r="E24" i="2"/>
  <c r="E26" i="2" s="1"/>
  <c r="D24" i="2"/>
  <c r="D26" i="2" s="1"/>
  <c r="C24" i="2"/>
  <c r="C26" i="2" s="1"/>
  <c r="B29" i="2" l="1"/>
  <c r="B44" i="2"/>
  <c r="C16" i="3"/>
  <c r="F16" i="3" l="1"/>
  <c r="F18" i="3" s="1"/>
  <c r="K21" i="1" l="1"/>
  <c r="K16" i="1"/>
  <c r="K23" i="1" s="1"/>
  <c r="K17" i="1" l="1"/>
  <c r="K20" i="1" s="1"/>
  <c r="H21" i="1"/>
  <c r="H16" i="1"/>
  <c r="H23" i="1" s="1"/>
  <c r="E21" i="1"/>
  <c r="E16" i="1"/>
  <c r="E23" i="1" s="1"/>
  <c r="B16" i="1"/>
  <c r="B17" i="1" s="1"/>
  <c r="B21" i="1"/>
  <c r="K24" i="1" l="1"/>
  <c r="K22" i="1"/>
  <c r="H17" i="1"/>
  <c r="H20" i="1" s="1"/>
  <c r="E17" i="1"/>
  <c r="E20" i="1" s="1"/>
  <c r="B20" i="1"/>
  <c r="B24" i="1" s="1"/>
  <c r="B23" i="1"/>
  <c r="K25" i="1" l="1"/>
  <c r="K27" i="1" s="1"/>
  <c r="H24" i="1"/>
  <c r="H22" i="1"/>
  <c r="E24" i="1"/>
  <c r="E22" i="1"/>
  <c r="B22" i="1"/>
  <c r="B25" i="1" s="1"/>
  <c r="B27" i="1" s="1"/>
  <c r="H25" i="1" l="1"/>
  <c r="H27" i="1" s="1"/>
  <c r="E25" i="1"/>
  <c r="E27" i="1" s="1"/>
</calcChain>
</file>

<file path=xl/sharedStrings.xml><?xml version="1.0" encoding="utf-8"?>
<sst xmlns="http://schemas.openxmlformats.org/spreadsheetml/2006/main" count="224" uniqueCount="73">
  <si>
    <t>Costo unitario</t>
  </si>
  <si>
    <t>Inflaciòn</t>
  </si>
  <si>
    <t>Unidades a vender</t>
  </si>
  <si>
    <t>VENTAS NETAS</t>
  </si>
  <si>
    <t>MENOS COSTOS DE LA MERCANCÌA VENDIDA</t>
  </si>
  <si>
    <t>Margen esperado _ Utilidad o ganancia</t>
  </si>
  <si>
    <t>IGUAL UTILIDAD BRUTA</t>
  </si>
  <si>
    <t>MENOS GASTOS</t>
  </si>
  <si>
    <t>MENOS INFLACIÒN</t>
  </si>
  <si>
    <t>Gastos fijos totales</t>
  </si>
  <si>
    <t>Gastos por unidad</t>
  </si>
  <si>
    <t>ESTADO DE RESULTADOS DEL PROYECTO</t>
  </si>
  <si>
    <t>PROPUESTA INICIAL DEL PROYECTO</t>
  </si>
  <si>
    <t>PROYECTO NO VIABLE DE EJECUTAR</t>
  </si>
  <si>
    <t>UTILIDAD NETA</t>
  </si>
  <si>
    <t xml:space="preserve">MARGEN NETO </t>
  </si>
  <si>
    <t>MARGEN NETO</t>
  </si>
  <si>
    <t>PROYECTO VIABLE DE EJECUTAR</t>
  </si>
  <si>
    <r>
      <t xml:space="preserve">PRECIO DE VENTA =  </t>
    </r>
    <r>
      <rPr>
        <b/>
        <u/>
        <sz val="11"/>
        <color theme="1"/>
        <rFont val="Calibri"/>
        <family val="2"/>
        <scheme val="minor"/>
      </rPr>
      <t>(COSTO UNITARIO + GASTO UNITARIO)</t>
    </r>
    <r>
      <rPr>
        <b/>
        <sz val="11"/>
        <color theme="1"/>
        <rFont val="Calibri"/>
        <family val="2"/>
        <scheme val="minor"/>
      </rPr>
      <t xml:space="preserve">
                                     (1 - % INFLACIÒN - %MARGEN DE UTILIDAD)</t>
    </r>
  </si>
  <si>
    <r>
      <t xml:space="preserve">MARGEN NETO =  </t>
    </r>
    <r>
      <rPr>
        <b/>
        <u/>
        <sz val="11"/>
        <color theme="1"/>
        <rFont val="Calibri"/>
        <family val="2"/>
        <scheme val="minor"/>
      </rPr>
      <t xml:space="preserve">(UTILIDAD NETA)  </t>
    </r>
    <r>
      <rPr>
        <b/>
        <sz val="11"/>
        <color theme="1"/>
        <rFont val="Calibri"/>
        <family val="2"/>
        <scheme val="minor"/>
      </rPr>
      <t>X 100
                                        VENTAS NETAS</t>
    </r>
  </si>
  <si>
    <t>PRECIO  DE VENTA  CON BASE AL MARGEN DE UTILIDAD_ COSTOS_ GASTOS_ INFLACIÒN</t>
  </si>
  <si>
    <t>ALTERNATIVA A_ PARA VIABILIDAD DEL PROYECTO</t>
  </si>
  <si>
    <t>ALTERNATIVA B_ PARA VIABILIDAD DEL PROYECTO</t>
  </si>
  <si>
    <t>ALTERNATIVA C_ PARA VIABILIDAD DEL PROYECTO</t>
  </si>
  <si>
    <t xml:space="preserve">PRECIO DE VENTA </t>
  </si>
  <si>
    <t>DEMANDA POTENCIAL PARA UN PROYECTO DE CONFECCIONES</t>
  </si>
  <si>
    <t>Informacion del proyecto Region Colombiana</t>
  </si>
  <si>
    <t>Nro de habitantes</t>
  </si>
  <si>
    <t xml:space="preserve">Posibles compadores </t>
  </si>
  <si>
    <t>DEMANDA POTENCIAL CLIENTES</t>
  </si>
  <si>
    <t>Precio de venta promedio</t>
  </si>
  <si>
    <t>Consumo percapita(anual)</t>
  </si>
  <si>
    <t>Demanda potencial en ventas ($)</t>
  </si>
  <si>
    <t>Objetivo participacion proyectado</t>
  </si>
  <si>
    <t>Demanda potencial para el proyecto</t>
  </si>
  <si>
    <t>DEMANDA TOTAL DEL PROYECTO</t>
  </si>
  <si>
    <t>Total de Habitantes</t>
  </si>
  <si>
    <t>Tennis tela</t>
  </si>
  <si>
    <t>Sandalias</t>
  </si>
  <si>
    <t>Botas de cuero</t>
  </si>
  <si>
    <t>Botines dama</t>
  </si>
  <si>
    <t>Tennis cuero</t>
  </si>
  <si>
    <t>Zapatilla</t>
  </si>
  <si>
    <t xml:space="preserve">La proyeccion total de la demanda
 potencial para el nuevo proyecto es de: </t>
  </si>
  <si>
    <t>DEMANDA POTENCIAL PARA UN PROYECTO  DE PRODUCT0S DE CALZADO</t>
  </si>
  <si>
    <t>PRONOSTICO DE VENTAS AÑO 2015</t>
  </si>
  <si>
    <t>PRONOSTICO DE VENTAS AÑO 2016</t>
  </si>
  <si>
    <t>MES</t>
  </si>
  <si>
    <t>PROYECCION DE VENTAS</t>
  </si>
  <si>
    <t>ACOMULADO VENTAS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</si>
  <si>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</si>
  <si>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</si>
  <si>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</si>
  <si>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</si>
  <si>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</si>
  <si>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</si>
  <si>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</si>
  <si>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</si>
  <si>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</si>
  <si>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</si>
  <si>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</si>
  <si>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</si>
  <si>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PRONÒSTICOS DE VENTAS PARA UN PROYECTO DE INVESRIÒN</t>
  </si>
  <si>
    <t>TOTAL ACUMULADO PARA LA PROYECCIÒN DE LOS 2 AÑOS</t>
  </si>
  <si>
    <t>TOTAL ACUMULADO PARA LA PROYECCIÒN DE LOS 3 AÑOS</t>
  </si>
  <si>
    <t>BLUSAS</t>
  </si>
  <si>
    <t>JEANS DAMA</t>
  </si>
  <si>
    <t>JEANS HOMBRE</t>
  </si>
  <si>
    <t>CAMISETAS</t>
  </si>
  <si>
    <t>CAMISAS</t>
  </si>
  <si>
    <t>BERMUDAS</t>
  </si>
  <si>
    <t>PANTALONETAS</t>
  </si>
  <si>
    <r>
      <rPr>
        <b/>
        <u/>
        <sz val="11"/>
        <color rgb="FFFF0000"/>
        <rFont val="Calibri"/>
        <family val="2"/>
        <scheme val="minor"/>
      </rPr>
      <t>CONDICIONES DEL PROYECTO</t>
    </r>
    <r>
      <rPr>
        <b/>
        <sz val="11"/>
        <color rgb="FFFF0000"/>
        <rFont val="Calibri"/>
        <family val="2"/>
        <scheme val="minor"/>
      </rPr>
      <t xml:space="preserve">
- EL PRECIO DE VENTA DEBE ESTAR POR DEBAJO DE $25.000 
- EL MARGEN NETO DEL INVERSIONISTA DEBE SER IGUAL O MAYOR AL 10% SOBRE LAS VENTASS 
- LA UTILIDAD NETA DEBE SER MAYOR A $25.000.000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</si>
</sst>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$&quot;* #,##0_-;\-&quot;$&quot;* #,##0_-;_-&quot;$&quot;* &quot;-&quot;_-;_-@_-"/>
    <numFmt numFmtId="165" formatCode="_-&quot;$&quot;* #,##0.00_-;\-&quot;$&quot;* #,##0.00_-;_-&quot;$&quot;* &quot;-&quot;??_-;_-@_-"/>
    <numFmt numFmtId="166" formatCode="_-&quot;$&quot;* #,##0.00_-;\-&quot;$&quot;* #,##0.00_-;_-&quot;$&quot;* &quot;-&quot;_-;_-@_-"/>
    <numFmt numFmtId="167" formatCode="_(&quot;$&quot;\ * #,##0_);_(&quot;$&quot;\ * \(#,##0\);_(&quot;$&quot;\ * &quot;-&quot;??_);_(@_)"/>
    <numFmt numFmtId="168" formatCode="&quot;$&quot;\ #,##0"/>
    <numFmt numFmtId="169" formatCode="[$$-240A]#,##0"/>
    <numFmt numFmtId="170" formatCode="0.0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07">
    <xf numFmtId="0" fontId="0" fillId="0" borderId="0" xfId="0"/>
    <xf numFmtId="0" fontId="5" fillId="0" borderId="1" xfId="0" applyFont="1" applyBorder="1"/>
    <xf numFmtId="164" fontId="5" fillId="0" borderId="1" xfId="1" applyFont="1" applyBorder="1"/>
    <xf numFmtId="10" fontId="5" fillId="0" borderId="1" xfId="2" applyNumberFormat="1" applyFont="1" applyBorder="1"/>
    <xf numFmtId="164" fontId="5" fillId="0" borderId="1" xfId="0" applyNumberFormat="1" applyFont="1" applyBorder="1"/>
    <xf numFmtId="0" fontId="2" fillId="4" borderId="1" xfId="0" applyFont="1" applyFill="1" applyBorder="1"/>
    <xf numFmtId="0" fontId="5" fillId="0" borderId="0" xfId="0" applyFont="1"/>
    <xf numFmtId="166" fontId="2" fillId="4" borderId="1" xfId="0" applyNumberFormat="1" applyFont="1" applyFill="1" applyBorder="1"/>
    <xf numFmtId="166" fontId="5" fillId="0" borderId="1" xfId="0" applyNumberFormat="1" applyFont="1" applyBorder="1"/>
    <xf numFmtId="165" fontId="5" fillId="0" borderId="1" xfId="0" applyNumberFormat="1" applyFont="1" applyBorder="1"/>
    <xf numFmtId="9" fontId="2" fillId="4" borderId="1" xfId="2" applyFont="1" applyFill="1" applyBorder="1"/>
    <xf numFmtId="0" fontId="0" fillId="2" borderId="0" xfId="0" applyFill="1"/>
    <xf numFmtId="0" fontId="2" fillId="3" borderId="1" xfId="0" applyFont="1" applyFill="1" applyBorder="1"/>
    <xf numFmtId="164" fontId="2" fillId="3" borderId="1" xfId="1" applyFont="1" applyFill="1" applyBorder="1"/>
    <xf numFmtId="0" fontId="5" fillId="5" borderId="1" xfId="0" applyFont="1" applyFill="1" applyBorder="1"/>
    <xf numFmtId="164" fontId="5" fillId="5" borderId="1" xfId="1" applyFont="1" applyFill="1" applyBorder="1"/>
    <xf numFmtId="0" fontId="0" fillId="6" borderId="0" xfId="0" applyFill="1"/>
    <xf numFmtId="0" fontId="5" fillId="6" borderId="1" xfId="0" applyFont="1" applyFill="1" applyBorder="1"/>
    <xf numFmtId="10" fontId="5" fillId="6" borderId="1" xfId="2" applyNumberFormat="1" applyFont="1" applyFill="1" applyBorder="1"/>
    <xf numFmtId="0" fontId="0" fillId="0" borderId="1" xfId="0" applyBorder="1"/>
    <xf numFmtId="0" fontId="2" fillId="0" borderId="1" xfId="0" applyFont="1" applyBorder="1" applyAlignment="1">
      <alignment wrapText="1"/>
    </xf>
    <xf numFmtId="0" fontId="2" fillId="0" borderId="3" xfId="0" applyFont="1" applyBorder="1"/>
    <xf numFmtId="9" fontId="5" fillId="0" borderId="1" xfId="0" applyNumberFormat="1" applyFont="1" applyBorder="1"/>
    <xf numFmtId="9" fontId="5" fillId="0" borderId="5" xfId="0" applyNumberFormat="1" applyFont="1" applyBorder="1"/>
    <xf numFmtId="0" fontId="5" fillId="0" borderId="3" xfId="0" applyFont="1" applyBorder="1"/>
    <xf numFmtId="9" fontId="2" fillId="0" borderId="1" xfId="0" applyNumberFormat="1" applyFont="1" applyBorder="1"/>
    <xf numFmtId="0" fontId="9" fillId="0" borderId="1" xfId="0" applyFont="1" applyBorder="1"/>
    <xf numFmtId="167" fontId="2" fillId="0" borderId="1" xfId="3" applyNumberFormat="1" applyFont="1" applyBorder="1"/>
    <xf numFmtId="167" fontId="2" fillId="0" borderId="5" xfId="3" applyNumberFormat="1" applyFont="1" applyBorder="1"/>
    <xf numFmtId="0" fontId="2" fillId="0" borderId="1" xfId="0" applyFont="1" applyBorder="1"/>
    <xf numFmtId="0" fontId="2" fillId="0" borderId="5" xfId="0" applyFont="1" applyBorder="1"/>
    <xf numFmtId="168" fontId="9" fillId="0" borderId="1" xfId="0" applyNumberFormat="1" applyFont="1" applyBorder="1"/>
    <xf numFmtId="0" fontId="5" fillId="0" borderId="8" xfId="0" applyFont="1" applyBorder="1"/>
    <xf numFmtId="0" fontId="2" fillId="7" borderId="1" xfId="0" applyFont="1" applyFill="1" applyBorder="1"/>
    <xf numFmtId="168" fontId="2" fillId="0" borderId="1" xfId="0" applyNumberFormat="1" applyFont="1" applyBorder="1"/>
    <xf numFmtId="168" fontId="5" fillId="0" borderId="0" xfId="0" applyNumberFormat="1" applyFont="1"/>
    <xf numFmtId="0" fontId="5" fillId="3" borderId="1" xfId="0" applyFont="1" applyFill="1" applyBorder="1"/>
    <xf numFmtId="0" fontId="2" fillId="3" borderId="1" xfId="0" applyFont="1" applyFill="1" applyBorder="1" applyAlignment="1">
      <alignment horizontal="center"/>
    </xf>
    <xf numFmtId="168" fontId="9" fillId="3" borderId="1" xfId="0" applyNumberFormat="1" applyFont="1" applyFill="1" applyBorder="1"/>
    <xf numFmtId="169" fontId="0" fillId="0" borderId="1" xfId="0" applyNumberFormat="1" applyBorder="1"/>
    <xf numFmtId="0" fontId="6" fillId="3" borderId="0" xfId="0" applyFont="1" applyFill="1"/>
    <xf numFmtId="169" fontId="2" fillId="3" borderId="1" xfId="0" applyNumberFormat="1" applyFont="1" applyFill="1" applyBorder="1"/>
    <xf numFmtId="169" fontId="4" fillId="5" borderId="1" xfId="0" applyNumberFormat="1" applyFont="1" applyFill="1" applyBorder="1"/>
    <xf numFmtId="0" fontId="5" fillId="3" borderId="6" xfId="0" applyFont="1" applyFill="1" applyBorder="1"/>
    <xf numFmtId="168" fontId="9" fillId="3" borderId="9" xfId="0" applyNumberFormat="1" applyFont="1" applyFill="1" applyBorder="1"/>
    <xf numFmtId="168" fontId="9" fillId="3" borderId="10" xfId="0" applyNumberFormat="1" applyFont="1" applyFill="1" applyBorder="1"/>
    <xf numFmtId="167" fontId="0" fillId="0" borderId="0" xfId="0" applyNumberFormat="1"/>
    <xf numFmtId="10" fontId="2" fillId="0" borderId="1" xfId="0" applyNumberFormat="1" applyFont="1" applyBorder="1"/>
    <xf numFmtId="10" fontId="2" fillId="0" borderId="5" xfId="0" applyNumberFormat="1" applyFont="1" applyBorder="1"/>
    <xf numFmtId="0" fontId="9" fillId="3" borderId="7" xfId="0" applyFont="1" applyFill="1" applyBorder="1"/>
    <xf numFmtId="0" fontId="9" fillId="3" borderId="6" xfId="0" applyFont="1" applyFill="1" applyBorder="1"/>
    <xf numFmtId="0" fontId="0" fillId="9" borderId="1" xfId="0" applyFill="1" applyBorder="1"/>
    <xf numFmtId="169" fontId="0" fillId="9" borderId="1" xfId="0" applyNumberFormat="1" applyFill="1" applyBorder="1"/>
    <xf numFmtId="0" fontId="0" fillId="10" borderId="1" xfId="0" applyFill="1" applyBorder="1"/>
    <xf numFmtId="169" fontId="0" fillId="10" borderId="1" xfId="0" applyNumberFormat="1" applyFill="1" applyBorder="1"/>
    <xf numFmtId="0" fontId="0" fillId="11" borderId="1" xfId="0" applyFill="1" applyBorder="1"/>
    <xf numFmtId="169" fontId="0" fillId="11" borderId="1" xfId="0" applyNumberFormat="1" applyFill="1" applyBorder="1"/>
    <xf numFmtId="0" fontId="0" fillId="12" borderId="1" xfId="0" applyFill="1" applyBorder="1"/>
    <xf numFmtId="169" fontId="0" fillId="12" borderId="1" xfId="0" applyNumberFormat="1" applyFill="1" applyBorder="1"/>
    <xf numFmtId="0" fontId="6" fillId="3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9" fillId="3" borderId="1" xfId="0" applyFont="1" applyFill="1" applyBorder="1"/>
    <xf numFmtId="168" fontId="2" fillId="5" borderId="1" xfId="0" applyNumberFormat="1" applyFont="1" applyFill="1" applyBorder="1"/>
    <xf numFmtId="169" fontId="10" fillId="5" borderId="1" xfId="0" applyNumberFormat="1" applyFont="1" applyFill="1" applyBorder="1"/>
    <xf numFmtId="0" fontId="0" fillId="6" borderId="1" xfId="0" applyFill="1" applyBorder="1"/>
    <xf numFmtId="169" fontId="0" fillId="6" borderId="1" xfId="0" applyNumberFormat="1" applyFill="1" applyBorder="1"/>
    <xf numFmtId="170" fontId="2" fillId="0" borderId="1" xfId="0" applyNumberFormat="1" applyFont="1" applyBorder="1"/>
    <xf numFmtId="170" fontId="2" fillId="0" borderId="5" xfId="0" applyNumberFormat="1" applyFont="1" applyBorder="1"/>
    <xf numFmtId="0" fontId="5" fillId="3" borderId="13" xfId="0" applyFont="1" applyFill="1" applyBorder="1"/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6" fillId="2" borderId="0" xfId="0" applyFont="1" applyFill="1"/>
    <xf numFmtId="165" fontId="2" fillId="0" borderId="1" xfId="3" applyFont="1" applyBorder="1"/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10" fillId="3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 wrapText="1"/>
    </xf>
    <xf numFmtId="0" fontId="6" fillId="8" borderId="11" xfId="0" applyFont="1" applyFill="1" applyBorder="1" applyAlignment="1">
      <alignment horizontal="center" wrapText="1"/>
    </xf>
    <xf numFmtId="0" fontId="6" fillId="8" borderId="3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wrapText="1"/>
    </xf>
    <xf numFmtId="0" fontId="3" fillId="3" borderId="0" xfId="0" applyFont="1" applyFill="1" applyAlignment="1">
      <alignment horizontal="center"/>
    </xf>
    <xf numFmtId="164" fontId="2" fillId="5" borderId="1" xfId="1" applyFont="1" applyFill="1" applyBorder="1"/>
    <xf numFmtId="0" fontId="2" fillId="5" borderId="1" xfId="0" applyFont="1" applyFill="1" applyBorder="1"/>
    <xf numFmtId="166" fontId="2" fillId="5" borderId="1" xfId="0" applyNumberFormat="1" applyFont="1" applyFill="1" applyBorder="1"/>
    <xf numFmtId="164" fontId="9" fillId="0" borderId="1" xfId="0" applyNumberFormat="1" applyFont="1" applyBorder="1"/>
    <xf numFmtId="9" fontId="2" fillId="5" borderId="1" xfId="2" applyFont="1" applyFill="1" applyBorder="1"/>
    <xf numFmtId="164" fontId="5" fillId="6" borderId="1" xfId="1" applyFont="1" applyFill="1" applyBorder="1"/>
    <xf numFmtId="164" fontId="9" fillId="3" borderId="1" xfId="1" applyFont="1" applyFill="1" applyBorder="1"/>
    <xf numFmtId="167" fontId="2" fillId="5" borderId="1" xfId="3" applyNumberFormat="1" applyFont="1" applyFill="1" applyBorder="1"/>
    <xf numFmtId="167" fontId="2" fillId="5" borderId="5" xfId="3" applyNumberFormat="1" applyFont="1" applyFill="1" applyBorder="1"/>
    <xf numFmtId="10" fontId="2" fillId="5" borderId="1" xfId="0" applyNumberFormat="1" applyFont="1" applyFill="1" applyBorder="1"/>
    <xf numFmtId="10" fontId="2" fillId="5" borderId="5" xfId="0" applyNumberFormat="1" applyFont="1" applyFill="1" applyBorder="1"/>
  </cellXfs>
  <cellStyles count="4">
    <cellStyle name="Moneda" xfId="3" builtinId="4"/>
    <cellStyle name="Moneda [0]" xfId="1" builtinId="7"/>
    <cellStyle name="Normal" xfId="0" builtinId="0"/>
    <cellStyle name="Porcentaje" xfId="2" builtinId="5"/>
  </cellStyles>
  <dxfs count="0"/>
  <tableStyles count="0" defaultTableStyle="TableStyleMedium2" defaultPivotStyle="PivotStyleMedium9"/>
  <colors>
    <mruColors>
      <color rgb="FF99FFCC"/>
      <color rgb="FFFFFFCC"/>
      <color rgb="FF00FF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opLeftCell="D13" zoomScale="120" zoomScaleNormal="120" workbookViewId="0">
      <selection activeCell="G26" sqref="G26"/>
    </sheetView>
  </sheetViews>
  <sheetFormatPr baseColWidth="10" defaultColWidth="9.140625" defaultRowHeight="15" x14ac:dyDescent="0.25"/>
  <cols>
    <col min="1" max="1" width="43" customWidth="1"/>
    <col min="2" max="2" width="29.28515625" customWidth="1"/>
    <col min="3" max="3" width="3.140625" style="11" customWidth="1"/>
    <col min="4" max="4" width="43.42578125" customWidth="1"/>
    <col min="5" max="5" width="28.7109375" customWidth="1"/>
    <col min="6" max="6" width="2.85546875" style="11" customWidth="1"/>
    <col min="7" max="7" width="43.5703125" customWidth="1"/>
    <col min="8" max="8" width="27.85546875" customWidth="1"/>
    <col min="9" max="9" width="3.28515625" style="11" customWidth="1"/>
    <col min="10" max="10" width="44" customWidth="1"/>
    <col min="11" max="11" width="25" customWidth="1"/>
    <col min="12" max="12" width="3.5703125" style="11" customWidth="1"/>
  </cols>
  <sheetData>
    <row r="1" spans="1:13" x14ac:dyDescent="0.25">
      <c r="A1" s="83" t="s">
        <v>18</v>
      </c>
      <c r="B1" s="83"/>
      <c r="D1" s="83" t="s">
        <v>18</v>
      </c>
      <c r="E1" s="83"/>
      <c r="G1" s="83" t="s">
        <v>18</v>
      </c>
      <c r="H1" s="83"/>
      <c r="J1" s="83" t="s">
        <v>18</v>
      </c>
      <c r="K1" s="83"/>
    </row>
    <row r="2" spans="1:13" x14ac:dyDescent="0.25">
      <c r="A2" s="83"/>
      <c r="B2" s="83"/>
      <c r="D2" s="83"/>
      <c r="E2" s="83"/>
      <c r="G2" s="83"/>
      <c r="H2" s="83"/>
      <c r="J2" s="83"/>
      <c r="K2" s="83"/>
    </row>
    <row r="4" spans="1:13" x14ac:dyDescent="0.25">
      <c r="A4" s="83" t="s">
        <v>19</v>
      </c>
      <c r="B4" s="83"/>
      <c r="D4" s="83" t="s">
        <v>19</v>
      </c>
      <c r="E4" s="83"/>
      <c r="G4" s="83" t="s">
        <v>19</v>
      </c>
      <c r="H4" s="83"/>
      <c r="J4" s="83" t="s">
        <v>19</v>
      </c>
      <c r="K4" s="83"/>
    </row>
    <row r="5" spans="1:13" x14ac:dyDescent="0.25">
      <c r="A5" s="83"/>
      <c r="B5" s="83"/>
      <c r="D5" s="83"/>
      <c r="E5" s="83"/>
      <c r="G5" s="83"/>
      <c r="H5" s="83"/>
      <c r="J5" s="83"/>
      <c r="K5" s="83"/>
    </row>
    <row r="7" spans="1:13" ht="18.75" x14ac:dyDescent="0.3">
      <c r="A7" s="80" t="s">
        <v>12</v>
      </c>
      <c r="B7" s="80"/>
      <c r="D7" s="80" t="s">
        <v>21</v>
      </c>
      <c r="E7" s="80"/>
      <c r="G7" s="80" t="s">
        <v>22</v>
      </c>
      <c r="H7" s="80"/>
      <c r="J7" s="80" t="s">
        <v>23</v>
      </c>
      <c r="K7" s="80"/>
    </row>
    <row r="8" spans="1:13" ht="15" customHeight="1" x14ac:dyDescent="0.25">
      <c r="A8" s="77" t="s">
        <v>72</v>
      </c>
      <c r="B8" s="78"/>
      <c r="C8" s="71"/>
      <c r="D8" s="77" t="s">
        <v>72</v>
      </c>
      <c r="E8" s="78"/>
      <c r="F8" s="71"/>
      <c r="G8" s="77" t="s">
        <v>72</v>
      </c>
      <c r="H8" s="78"/>
      <c r="I8" s="71"/>
      <c r="J8" s="77" t="s">
        <v>72</v>
      </c>
      <c r="K8" s="78"/>
    </row>
    <row r="9" spans="1:13" ht="60.6" customHeight="1" x14ac:dyDescent="0.25">
      <c r="A9" s="79"/>
      <c r="B9" s="79"/>
      <c r="C9" s="71"/>
      <c r="D9" s="79"/>
      <c r="E9" s="79"/>
      <c r="F9" s="71"/>
      <c r="G9" s="79"/>
      <c r="H9" s="79"/>
      <c r="I9" s="71"/>
      <c r="J9" s="79"/>
      <c r="K9" s="79"/>
    </row>
    <row r="10" spans="1:13" ht="31.5" customHeight="1" x14ac:dyDescent="0.25">
      <c r="A10" s="81" t="s">
        <v>20</v>
      </c>
      <c r="B10" s="82"/>
      <c r="D10" s="81" t="s">
        <v>20</v>
      </c>
      <c r="E10" s="82"/>
      <c r="G10" s="81" t="s">
        <v>20</v>
      </c>
      <c r="H10" s="82"/>
      <c r="J10" s="81" t="s">
        <v>20</v>
      </c>
      <c r="K10" s="82"/>
    </row>
    <row r="11" spans="1:13" ht="15.75" x14ac:dyDescent="0.25">
      <c r="A11" s="1" t="s">
        <v>2</v>
      </c>
      <c r="B11" s="17">
        <v>10000</v>
      </c>
      <c r="D11" s="1" t="s">
        <v>2</v>
      </c>
      <c r="E11" s="14">
        <v>11500</v>
      </c>
      <c r="G11" s="1" t="s">
        <v>2</v>
      </c>
      <c r="H11" s="14">
        <v>11200</v>
      </c>
      <c r="J11" s="1" t="s">
        <v>2</v>
      </c>
      <c r="K11" s="17">
        <v>10000</v>
      </c>
    </row>
    <row r="12" spans="1:13" ht="15.75" x14ac:dyDescent="0.25">
      <c r="A12" s="1" t="s">
        <v>0</v>
      </c>
      <c r="B12" s="101">
        <v>20000</v>
      </c>
      <c r="D12" s="1" t="s">
        <v>0</v>
      </c>
      <c r="E12" s="2">
        <v>20000</v>
      </c>
      <c r="G12" s="1" t="s">
        <v>0</v>
      </c>
      <c r="H12" s="15">
        <v>18000</v>
      </c>
      <c r="J12" s="1" t="s">
        <v>0</v>
      </c>
      <c r="K12" s="2">
        <v>20000</v>
      </c>
    </row>
    <row r="13" spans="1:13" ht="15.75" x14ac:dyDescent="0.25">
      <c r="A13" s="1" t="s">
        <v>5</v>
      </c>
      <c r="B13" s="3">
        <v>0.1</v>
      </c>
      <c r="D13" s="1" t="s">
        <v>5</v>
      </c>
      <c r="E13" s="3">
        <v>0.1</v>
      </c>
      <c r="G13" s="1" t="s">
        <v>5</v>
      </c>
      <c r="H13" s="3">
        <v>0.1</v>
      </c>
      <c r="J13" s="1" t="s">
        <v>5</v>
      </c>
      <c r="K13" s="3">
        <v>0.1</v>
      </c>
    </row>
    <row r="14" spans="1:13" ht="15.75" x14ac:dyDescent="0.25">
      <c r="A14" s="1" t="s">
        <v>1</v>
      </c>
      <c r="B14" s="3">
        <v>0.06</v>
      </c>
      <c r="D14" s="1" t="s">
        <v>1</v>
      </c>
      <c r="E14" s="3">
        <v>0.06</v>
      </c>
      <c r="G14" s="1" t="s">
        <v>1</v>
      </c>
      <c r="H14" s="3">
        <v>0.06</v>
      </c>
      <c r="J14" s="1" t="s">
        <v>1</v>
      </c>
      <c r="K14" s="18">
        <v>0.06</v>
      </c>
      <c r="M14" s="16"/>
    </row>
    <row r="15" spans="1:13" ht="15.75" x14ac:dyDescent="0.25">
      <c r="A15" s="1" t="s">
        <v>9</v>
      </c>
      <c r="B15" s="15">
        <v>12000000</v>
      </c>
      <c r="D15" s="1" t="s">
        <v>9</v>
      </c>
      <c r="E15" s="2">
        <v>12000000</v>
      </c>
      <c r="G15" s="1" t="s">
        <v>9</v>
      </c>
      <c r="H15" s="2">
        <v>12000000</v>
      </c>
      <c r="J15" s="1" t="s">
        <v>9</v>
      </c>
      <c r="K15" s="15">
        <v>11000000</v>
      </c>
    </row>
    <row r="16" spans="1:13" ht="15.75" x14ac:dyDescent="0.25">
      <c r="A16" s="1" t="s">
        <v>10</v>
      </c>
      <c r="B16" s="99">
        <f>B15/B11</f>
        <v>1200</v>
      </c>
      <c r="D16" s="1" t="s">
        <v>10</v>
      </c>
      <c r="E16" s="99">
        <f>E15/E11</f>
        <v>1043.4782608695652</v>
      </c>
      <c r="G16" s="1" t="s">
        <v>10</v>
      </c>
      <c r="H16" s="99">
        <f>H15/H11</f>
        <v>1071.4285714285713</v>
      </c>
      <c r="J16" s="1" t="s">
        <v>10</v>
      </c>
      <c r="K16" s="4">
        <f>K15/K11</f>
        <v>1100</v>
      </c>
    </row>
    <row r="17" spans="1:11" ht="15.75" x14ac:dyDescent="0.25">
      <c r="A17" s="97" t="s">
        <v>24</v>
      </c>
      <c r="B17" s="96">
        <f>(B12+B16)/(1-B13-B14)</f>
        <v>25238.095238095237</v>
      </c>
      <c r="D17" s="12" t="s">
        <v>24</v>
      </c>
      <c r="E17" s="13">
        <f>(E12+E16)/(1-E13-E14)</f>
        <v>25051.759834368528</v>
      </c>
      <c r="G17" s="12" t="s">
        <v>24</v>
      </c>
      <c r="H17" s="96">
        <f>(H12+H16)/(1-H13-H14)</f>
        <v>22704.081632653062</v>
      </c>
      <c r="J17" s="12" t="s">
        <v>24</v>
      </c>
      <c r="K17" s="102">
        <f>(K12+K16)/(1-K13-K14)</f>
        <v>25119.047619047618</v>
      </c>
    </row>
    <row r="18" spans="1:11" ht="15.75" x14ac:dyDescent="0.25">
      <c r="A18" s="6"/>
      <c r="B18" s="6"/>
      <c r="D18" s="6"/>
      <c r="E18" s="6"/>
      <c r="G18" s="6"/>
      <c r="H18" s="6"/>
      <c r="J18" s="6"/>
      <c r="K18" s="6"/>
    </row>
    <row r="19" spans="1:11" ht="15.75" x14ac:dyDescent="0.25">
      <c r="A19" s="73" t="s">
        <v>11</v>
      </c>
      <c r="B19" s="74"/>
      <c r="D19" s="73" t="s">
        <v>11</v>
      </c>
      <c r="E19" s="74"/>
      <c r="G19" s="73" t="s">
        <v>11</v>
      </c>
      <c r="H19" s="74"/>
      <c r="J19" s="73" t="s">
        <v>11</v>
      </c>
      <c r="K19" s="74"/>
    </row>
    <row r="20" spans="1:11" ht="15.75" x14ac:dyDescent="0.25">
      <c r="A20" s="5" t="s">
        <v>3</v>
      </c>
      <c r="B20" s="7">
        <f>B11*B17</f>
        <v>252380952.38095236</v>
      </c>
      <c r="D20" s="5" t="s">
        <v>3</v>
      </c>
      <c r="E20" s="7">
        <f>E11*E17</f>
        <v>288095238.09523809</v>
      </c>
      <c r="G20" s="5" t="s">
        <v>3</v>
      </c>
      <c r="H20" s="7">
        <f>H11*H17</f>
        <v>254285714.2857143</v>
      </c>
      <c r="J20" s="5" t="s">
        <v>3</v>
      </c>
      <c r="K20" s="7">
        <f>K11*K17</f>
        <v>251190476.19047618</v>
      </c>
    </row>
    <row r="21" spans="1:11" ht="15.75" x14ac:dyDescent="0.25">
      <c r="A21" s="1" t="s">
        <v>4</v>
      </c>
      <c r="B21" s="8">
        <f>(B11*B12)</f>
        <v>200000000</v>
      </c>
      <c r="D21" s="1" t="s">
        <v>4</v>
      </c>
      <c r="E21" s="8">
        <f>(E11*E12)</f>
        <v>230000000</v>
      </c>
      <c r="G21" s="1" t="s">
        <v>4</v>
      </c>
      <c r="H21" s="8">
        <f>(H11*H12)</f>
        <v>201600000</v>
      </c>
      <c r="J21" s="1" t="s">
        <v>4</v>
      </c>
      <c r="K21" s="8">
        <f>(K11*K12)</f>
        <v>200000000</v>
      </c>
    </row>
    <row r="22" spans="1:11" ht="15.75" x14ac:dyDescent="0.25">
      <c r="A22" s="5" t="s">
        <v>6</v>
      </c>
      <c r="B22" s="7">
        <f>B20-B21</f>
        <v>52380952.380952358</v>
      </c>
      <c r="D22" s="5" t="s">
        <v>6</v>
      </c>
      <c r="E22" s="7">
        <f>E20-E21</f>
        <v>58095238.09523809</v>
      </c>
      <c r="G22" s="5" t="s">
        <v>6</v>
      </c>
      <c r="H22" s="7">
        <f>H20-H21</f>
        <v>52685714.285714298</v>
      </c>
      <c r="J22" s="5" t="s">
        <v>6</v>
      </c>
      <c r="K22" s="7">
        <f>K20-K21</f>
        <v>51190476.190476179</v>
      </c>
    </row>
    <row r="23" spans="1:11" ht="15.75" x14ac:dyDescent="0.25">
      <c r="A23" s="1" t="s">
        <v>7</v>
      </c>
      <c r="B23" s="9">
        <f>B11*B16</f>
        <v>12000000</v>
      </c>
      <c r="D23" s="1" t="s">
        <v>7</v>
      </c>
      <c r="E23" s="9">
        <f>E11*E16</f>
        <v>12000000</v>
      </c>
      <c r="G23" s="1" t="s">
        <v>7</v>
      </c>
      <c r="H23" s="9">
        <f>H11*H16</f>
        <v>11999999.999999998</v>
      </c>
      <c r="J23" s="1" t="s">
        <v>7</v>
      </c>
      <c r="K23" s="9">
        <f>K11*K16</f>
        <v>11000000</v>
      </c>
    </row>
    <row r="24" spans="1:11" ht="15.75" x14ac:dyDescent="0.25">
      <c r="A24" s="1" t="s">
        <v>8</v>
      </c>
      <c r="B24" s="9">
        <f>B20*B14</f>
        <v>15142857.142857142</v>
      </c>
      <c r="D24" s="1" t="s">
        <v>8</v>
      </c>
      <c r="E24" s="9">
        <f>E20*E14</f>
        <v>17285714.285714284</v>
      </c>
      <c r="G24" s="1" t="s">
        <v>8</v>
      </c>
      <c r="H24" s="9">
        <f>H20*H14</f>
        <v>15257142.857142858</v>
      </c>
      <c r="J24" s="1" t="s">
        <v>8</v>
      </c>
      <c r="K24" s="9">
        <f>K20*K14</f>
        <v>15071428.571428571</v>
      </c>
    </row>
    <row r="25" spans="1:11" ht="15.75" x14ac:dyDescent="0.25">
      <c r="A25" s="97" t="s">
        <v>14</v>
      </c>
      <c r="B25" s="98">
        <f>B22-B23-B24</f>
        <v>25238095.238095216</v>
      </c>
      <c r="D25" s="5" t="s">
        <v>14</v>
      </c>
      <c r="E25" s="98">
        <f>E22-E23-E24</f>
        <v>28809523.809523806</v>
      </c>
      <c r="G25" s="5" t="s">
        <v>14</v>
      </c>
      <c r="H25" s="98">
        <f>H22-H23-H24</f>
        <v>25428571.42857144</v>
      </c>
      <c r="J25" s="5" t="s">
        <v>14</v>
      </c>
      <c r="K25" s="7">
        <f>K22-K23-K24</f>
        <v>25119047.619047608</v>
      </c>
    </row>
    <row r="26" spans="1:11" ht="15.75" x14ac:dyDescent="0.25">
      <c r="A26" s="1"/>
      <c r="B26" s="1"/>
      <c r="D26" s="1"/>
      <c r="E26" s="1"/>
      <c r="G26" s="1"/>
      <c r="H26" s="1"/>
      <c r="J26" s="1"/>
      <c r="K26" s="1"/>
    </row>
    <row r="27" spans="1:11" ht="15.75" x14ac:dyDescent="0.25">
      <c r="A27" s="5" t="s">
        <v>15</v>
      </c>
      <c r="B27" s="10">
        <f>B25/B20</f>
        <v>9.9999999999999922E-2</v>
      </c>
      <c r="D27" s="5" t="s">
        <v>16</v>
      </c>
      <c r="E27" s="10">
        <f>E25/E20</f>
        <v>9.9999999999999992E-2</v>
      </c>
      <c r="G27" s="5" t="s">
        <v>16</v>
      </c>
      <c r="H27" s="100">
        <f>H25/H20</f>
        <v>0.10000000000000005</v>
      </c>
      <c r="J27" s="5" t="s">
        <v>15</v>
      </c>
      <c r="K27" s="10">
        <f>K25/K20</f>
        <v>9.9999999999999964E-2</v>
      </c>
    </row>
    <row r="28" spans="1:11" ht="18.75" x14ac:dyDescent="0.3">
      <c r="A28" s="76" t="s">
        <v>13</v>
      </c>
      <c r="B28" s="76"/>
      <c r="D28" s="76" t="s">
        <v>13</v>
      </c>
      <c r="E28" s="76"/>
      <c r="G28" s="75" t="s">
        <v>17</v>
      </c>
      <c r="H28" s="75"/>
      <c r="J28" s="76" t="s">
        <v>13</v>
      </c>
      <c r="K28" s="76"/>
    </row>
    <row r="29" spans="1:11" s="11" customFormat="1" x14ac:dyDescent="0.25"/>
    <row r="30" spans="1:11" ht="0.75" customHeight="1" x14ac:dyDescent="0.25">
      <c r="A30" s="11"/>
      <c r="B30" s="11"/>
      <c r="D30" s="11"/>
      <c r="E30" s="11"/>
      <c r="G30" s="11"/>
      <c r="H30" s="11"/>
      <c r="J30" s="11"/>
      <c r="K30" s="11"/>
    </row>
    <row r="31" spans="1:11" hidden="1" x14ac:dyDescent="0.25">
      <c r="A31" s="11"/>
      <c r="B31" s="11"/>
      <c r="D31" s="11"/>
      <c r="E31" s="11"/>
      <c r="G31" s="11"/>
      <c r="H31" s="11"/>
      <c r="J31" s="11"/>
      <c r="K31" s="11"/>
    </row>
  </sheetData>
  <mergeCells count="28">
    <mergeCell ref="J7:K7"/>
    <mergeCell ref="J8:K9"/>
    <mergeCell ref="J10:K10"/>
    <mergeCell ref="J19:K19"/>
    <mergeCell ref="A1:B2"/>
    <mergeCell ref="A4:B5"/>
    <mergeCell ref="D1:E2"/>
    <mergeCell ref="D4:E5"/>
    <mergeCell ref="G1:H2"/>
    <mergeCell ref="G4:H5"/>
    <mergeCell ref="J1:K2"/>
    <mergeCell ref="J4:K5"/>
    <mergeCell ref="G10:H10"/>
    <mergeCell ref="G19:H19"/>
    <mergeCell ref="A7:B7"/>
    <mergeCell ref="D7:E7"/>
    <mergeCell ref="A8:B9"/>
    <mergeCell ref="D8:E9"/>
    <mergeCell ref="G7:H7"/>
    <mergeCell ref="G8:H9"/>
    <mergeCell ref="A10:B10"/>
    <mergeCell ref="D10:E10"/>
    <mergeCell ref="A19:B19"/>
    <mergeCell ref="D19:E19"/>
    <mergeCell ref="G28:H28"/>
    <mergeCell ref="J28:K28"/>
    <mergeCell ref="D28:E28"/>
    <mergeCell ref="A28:B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tabSelected="1" zoomScale="130" zoomScaleNormal="130" workbookViewId="0">
      <selection activeCell="D13" sqref="D13"/>
    </sheetView>
  </sheetViews>
  <sheetFormatPr baseColWidth="10" defaultColWidth="9.140625" defaultRowHeight="15" x14ac:dyDescent="0.25"/>
  <cols>
    <col min="1" max="1" width="35.42578125" customWidth="1"/>
    <col min="2" max="2" width="18.7109375" customWidth="1"/>
    <col min="3" max="3" width="16.85546875" bestFit="1" customWidth="1"/>
    <col min="4" max="4" width="14.7109375" bestFit="1" customWidth="1"/>
    <col min="5" max="5" width="15.5703125" bestFit="1" customWidth="1"/>
    <col min="6" max="8" width="15" bestFit="1" customWidth="1"/>
    <col min="9" max="9" width="16.7109375" customWidth="1"/>
  </cols>
  <sheetData>
    <row r="1" spans="1:6" ht="15.75" x14ac:dyDescent="0.25">
      <c r="A1" s="84" t="s">
        <v>25</v>
      </c>
      <c r="B1" s="84"/>
      <c r="C1" s="84"/>
      <c r="D1" s="84"/>
      <c r="E1" s="84"/>
      <c r="F1" s="84"/>
    </row>
    <row r="2" spans="1:6" ht="15.75" x14ac:dyDescent="0.25">
      <c r="A2" s="86" t="s">
        <v>26</v>
      </c>
      <c r="B2" s="87"/>
      <c r="C2" s="87"/>
      <c r="D2" s="87"/>
      <c r="E2" s="87"/>
      <c r="F2" s="87"/>
    </row>
    <row r="3" spans="1:6" ht="15.75" x14ac:dyDescent="0.25">
      <c r="A3" s="68"/>
      <c r="B3" s="69" t="s">
        <v>36</v>
      </c>
      <c r="C3" s="69" t="s">
        <v>65</v>
      </c>
      <c r="D3" s="69" t="s">
        <v>66</v>
      </c>
      <c r="E3" s="69" t="s">
        <v>67</v>
      </c>
      <c r="F3" s="70" t="s">
        <v>68</v>
      </c>
    </row>
    <row r="4" spans="1:6" ht="15.75" x14ac:dyDescent="0.25">
      <c r="A4" s="43" t="s">
        <v>27</v>
      </c>
      <c r="B4" s="21">
        <v>100000</v>
      </c>
      <c r="C4" s="22"/>
      <c r="D4" s="22"/>
      <c r="E4" s="22"/>
      <c r="F4" s="23"/>
    </row>
    <row r="5" spans="1:6" ht="15.75" x14ac:dyDescent="0.25">
      <c r="A5" s="43" t="s">
        <v>28</v>
      </c>
      <c r="B5" s="24"/>
      <c r="C5" s="47">
        <v>0.15</v>
      </c>
      <c r="D5" s="47">
        <v>0.1</v>
      </c>
      <c r="E5" s="47">
        <v>0.16</v>
      </c>
      <c r="F5" s="48">
        <v>0.1</v>
      </c>
    </row>
    <row r="6" spans="1:6" ht="15.75" x14ac:dyDescent="0.25">
      <c r="A6" s="50" t="s">
        <v>29</v>
      </c>
      <c r="B6" s="24"/>
      <c r="C6" s="26">
        <f>$B$4*C5</f>
        <v>15000</v>
      </c>
      <c r="D6" s="26">
        <f t="shared" ref="D6:F6" si="0">$B$4*D5</f>
        <v>10000</v>
      </c>
      <c r="E6" s="26">
        <f t="shared" si="0"/>
        <v>16000</v>
      </c>
      <c r="F6" s="26">
        <f t="shared" si="0"/>
        <v>10000</v>
      </c>
    </row>
    <row r="7" spans="1:6" ht="15.75" x14ac:dyDescent="0.25">
      <c r="A7" s="43" t="s">
        <v>30</v>
      </c>
      <c r="B7" s="24"/>
      <c r="C7" s="103">
        <v>36000</v>
      </c>
      <c r="D7" s="103">
        <v>24000</v>
      </c>
      <c r="E7" s="103">
        <v>17000</v>
      </c>
      <c r="F7" s="104">
        <v>15000</v>
      </c>
    </row>
    <row r="8" spans="1:6" ht="15.75" x14ac:dyDescent="0.25">
      <c r="A8" s="43" t="s">
        <v>31</v>
      </c>
      <c r="B8" s="24"/>
      <c r="C8" s="29">
        <v>2</v>
      </c>
      <c r="D8" s="29">
        <v>4</v>
      </c>
      <c r="E8" s="29">
        <v>3</v>
      </c>
      <c r="F8" s="30">
        <v>3</v>
      </c>
    </row>
    <row r="9" spans="1:6" ht="15.75" x14ac:dyDescent="0.25">
      <c r="A9" s="50" t="s">
        <v>32</v>
      </c>
      <c r="B9" s="24"/>
      <c r="C9" s="31">
        <f>C6*C7*C8</f>
        <v>1080000000</v>
      </c>
      <c r="D9" s="31">
        <f t="shared" ref="D9:F9" si="1">D6*D7*D8</f>
        <v>960000000</v>
      </c>
      <c r="E9" s="31">
        <f t="shared" si="1"/>
        <v>816000000</v>
      </c>
      <c r="F9" s="31">
        <f t="shared" si="1"/>
        <v>450000000</v>
      </c>
    </row>
    <row r="10" spans="1:6" ht="15.75" x14ac:dyDescent="0.25">
      <c r="A10" s="43" t="s">
        <v>33</v>
      </c>
      <c r="B10" s="24"/>
      <c r="C10" s="105">
        <v>0.12</v>
      </c>
      <c r="D10" s="105">
        <v>0.15</v>
      </c>
      <c r="E10" s="105">
        <v>0.1</v>
      </c>
      <c r="F10" s="106">
        <v>0.08</v>
      </c>
    </row>
    <row r="11" spans="1:6" ht="16.5" thickBot="1" x14ac:dyDescent="0.3">
      <c r="A11" s="49" t="s">
        <v>34</v>
      </c>
      <c r="B11" s="32"/>
      <c r="C11" s="44">
        <f>C9*C10</f>
        <v>129600000</v>
      </c>
      <c r="D11" s="44">
        <f t="shared" ref="D11:F11" si="2">D9*D10</f>
        <v>144000000</v>
      </c>
      <c r="E11" s="44">
        <f t="shared" si="2"/>
        <v>81600000</v>
      </c>
      <c r="F11" s="45">
        <f t="shared" si="2"/>
        <v>36000000</v>
      </c>
    </row>
    <row r="12" spans="1:6" ht="15.75" x14ac:dyDescent="0.25">
      <c r="A12" s="6"/>
      <c r="B12" s="6"/>
      <c r="C12" s="6"/>
      <c r="D12" s="6"/>
      <c r="E12" s="6"/>
      <c r="F12" s="6"/>
    </row>
    <row r="13" spans="1:6" ht="15.75" x14ac:dyDescent="0.25">
      <c r="A13" s="33" t="s">
        <v>35</v>
      </c>
      <c r="B13" s="34"/>
      <c r="C13" s="6"/>
      <c r="D13" s="6"/>
      <c r="E13" s="35"/>
      <c r="F13" s="6"/>
    </row>
    <row r="14" spans="1:6" ht="47.25" x14ac:dyDescent="0.25">
      <c r="A14" s="20" t="s">
        <v>43</v>
      </c>
      <c r="B14" s="62">
        <f>SUM(C11:I11)</f>
        <v>391200000</v>
      </c>
      <c r="C14" s="6"/>
      <c r="D14" s="6"/>
      <c r="E14" s="6"/>
      <c r="F14" s="6"/>
    </row>
    <row r="16" spans="1:6" ht="15.75" x14ac:dyDescent="0.25">
      <c r="A16" s="84" t="s">
        <v>25</v>
      </c>
      <c r="B16" s="84"/>
      <c r="C16" s="84"/>
      <c r="D16" s="84"/>
      <c r="E16" s="84"/>
      <c r="F16" s="84"/>
    </row>
    <row r="17" spans="1:9" ht="15.75" x14ac:dyDescent="0.25">
      <c r="A17" s="86" t="s">
        <v>26</v>
      </c>
      <c r="B17" s="87"/>
      <c r="C17" s="87"/>
      <c r="D17" s="87"/>
      <c r="E17" s="87"/>
      <c r="F17" s="87"/>
      <c r="G17" s="87"/>
      <c r="H17" s="87"/>
      <c r="I17" s="88"/>
    </row>
    <row r="18" spans="1:9" ht="15.75" x14ac:dyDescent="0.25">
      <c r="A18" s="68"/>
      <c r="B18" s="69" t="s">
        <v>36</v>
      </c>
      <c r="C18" s="69" t="s">
        <v>65</v>
      </c>
      <c r="D18" s="69" t="s">
        <v>66</v>
      </c>
      <c r="E18" s="69" t="s">
        <v>67</v>
      </c>
      <c r="F18" s="70" t="s">
        <v>68</v>
      </c>
      <c r="G18" s="70" t="s">
        <v>69</v>
      </c>
      <c r="H18" s="70" t="s">
        <v>70</v>
      </c>
      <c r="I18" s="70" t="s">
        <v>71</v>
      </c>
    </row>
    <row r="19" spans="1:9" ht="15.75" x14ac:dyDescent="0.25">
      <c r="A19" s="43" t="s">
        <v>27</v>
      </c>
      <c r="B19" s="21"/>
      <c r="C19" s="22"/>
      <c r="D19" s="22"/>
      <c r="E19" s="22"/>
      <c r="F19" s="23"/>
      <c r="G19" s="23"/>
      <c r="H19" s="23"/>
      <c r="I19" s="23"/>
    </row>
    <row r="20" spans="1:9" ht="15.75" x14ac:dyDescent="0.25">
      <c r="A20" s="43" t="s">
        <v>28</v>
      </c>
      <c r="B20" s="24"/>
      <c r="C20" s="66"/>
      <c r="D20" s="66"/>
      <c r="E20" s="66"/>
      <c r="F20" s="67"/>
      <c r="G20" s="67"/>
      <c r="H20" s="67"/>
      <c r="I20" s="67"/>
    </row>
    <row r="21" spans="1:9" ht="15.75" x14ac:dyDescent="0.25">
      <c r="A21" s="50" t="s">
        <v>29</v>
      </c>
      <c r="B21" s="24"/>
      <c r="C21" s="26">
        <f>$B$19*C20</f>
        <v>0</v>
      </c>
      <c r="D21" s="26">
        <f t="shared" ref="D21:F21" si="3">$B$19*D20</f>
        <v>0</v>
      </c>
      <c r="E21" s="26">
        <f t="shared" si="3"/>
        <v>0</v>
      </c>
      <c r="F21" s="26">
        <f t="shared" si="3"/>
        <v>0</v>
      </c>
      <c r="G21" s="26">
        <f t="shared" ref="G21:I21" si="4">$B$19*G20</f>
        <v>0</v>
      </c>
      <c r="H21" s="26">
        <f t="shared" si="4"/>
        <v>0</v>
      </c>
      <c r="I21" s="26">
        <f t="shared" si="4"/>
        <v>0</v>
      </c>
    </row>
    <row r="22" spans="1:9" ht="15.75" x14ac:dyDescent="0.25">
      <c r="A22" s="43" t="s">
        <v>30</v>
      </c>
      <c r="B22" s="24"/>
      <c r="C22" s="27"/>
      <c r="D22" s="27"/>
      <c r="E22" s="27"/>
      <c r="F22" s="28"/>
      <c r="G22" s="28"/>
      <c r="H22" s="28"/>
      <c r="I22" s="28"/>
    </row>
    <row r="23" spans="1:9" ht="15.75" x14ac:dyDescent="0.25">
      <c r="A23" s="43" t="s">
        <v>31</v>
      </c>
      <c r="B23" s="24"/>
      <c r="C23" s="29"/>
      <c r="D23" s="29"/>
      <c r="E23" s="29"/>
      <c r="F23" s="30"/>
      <c r="G23" s="30"/>
      <c r="H23" s="30"/>
      <c r="I23" s="30"/>
    </row>
    <row r="24" spans="1:9" ht="15.75" x14ac:dyDescent="0.25">
      <c r="A24" s="50" t="s">
        <v>32</v>
      </c>
      <c r="B24" s="24"/>
      <c r="C24" s="31">
        <f>C21*C22*C23</f>
        <v>0</v>
      </c>
      <c r="D24" s="31">
        <f t="shared" ref="D24:F24" si="5">D21*D22*D23</f>
        <v>0</v>
      </c>
      <c r="E24" s="31">
        <f t="shared" si="5"/>
        <v>0</v>
      </c>
      <c r="F24" s="31">
        <f t="shared" si="5"/>
        <v>0</v>
      </c>
      <c r="G24" s="31">
        <f t="shared" ref="G24:I24" si="6">G21*G22*G23</f>
        <v>0</v>
      </c>
      <c r="H24" s="31">
        <f t="shared" si="6"/>
        <v>0</v>
      </c>
      <c r="I24" s="31">
        <f t="shared" si="6"/>
        <v>0</v>
      </c>
    </row>
    <row r="25" spans="1:9" ht="15.75" x14ac:dyDescent="0.25">
      <c r="A25" s="43" t="s">
        <v>33</v>
      </c>
      <c r="B25" s="24"/>
      <c r="C25" s="47"/>
      <c r="D25" s="47"/>
      <c r="E25" s="47"/>
      <c r="F25" s="48"/>
      <c r="G25" s="48"/>
      <c r="H25" s="48"/>
      <c r="I25" s="48"/>
    </row>
    <row r="26" spans="1:9" ht="16.5" thickBot="1" x14ac:dyDescent="0.3">
      <c r="A26" s="49" t="s">
        <v>34</v>
      </c>
      <c r="B26" s="32"/>
      <c r="C26" s="44">
        <f>C24*C25</f>
        <v>0</v>
      </c>
      <c r="D26" s="44">
        <f t="shared" ref="D26:F26" si="7">D24*D25</f>
        <v>0</v>
      </c>
      <c r="E26" s="44">
        <f t="shared" si="7"/>
        <v>0</v>
      </c>
      <c r="F26" s="45">
        <f t="shared" si="7"/>
        <v>0</v>
      </c>
      <c r="G26" s="45">
        <f t="shared" ref="G26:I26" si="8">G24*G25</f>
        <v>0</v>
      </c>
      <c r="H26" s="45">
        <f t="shared" si="8"/>
        <v>0</v>
      </c>
      <c r="I26" s="45">
        <f t="shared" si="8"/>
        <v>0</v>
      </c>
    </row>
    <row r="27" spans="1:9" ht="15.75" x14ac:dyDescent="0.25">
      <c r="A27" s="6"/>
      <c r="B27" s="6"/>
      <c r="C27" s="6"/>
      <c r="D27" s="6"/>
      <c r="E27" s="6"/>
      <c r="F27" s="6"/>
    </row>
    <row r="28" spans="1:9" ht="15.75" x14ac:dyDescent="0.25">
      <c r="A28" s="33" t="s">
        <v>35</v>
      </c>
      <c r="B28" s="34"/>
      <c r="C28" s="6"/>
      <c r="D28" s="6"/>
      <c r="E28" s="35"/>
      <c r="F28" s="6"/>
    </row>
    <row r="29" spans="1:9" ht="47.25" x14ac:dyDescent="0.25">
      <c r="A29" s="20" t="s">
        <v>43</v>
      </c>
      <c r="B29" s="62">
        <f>SUM(C26:I26)</f>
        <v>0</v>
      </c>
      <c r="C29" s="6"/>
      <c r="D29" s="6"/>
      <c r="E29" s="6"/>
      <c r="F29" s="6"/>
    </row>
    <row r="31" spans="1:9" ht="15.75" x14ac:dyDescent="0.25">
      <c r="A31" s="85" t="s">
        <v>44</v>
      </c>
      <c r="B31" s="85"/>
      <c r="C31" s="85"/>
      <c r="D31" s="85"/>
      <c r="E31" s="85"/>
      <c r="F31" s="85"/>
      <c r="G31" s="85"/>
      <c r="H31" s="85"/>
    </row>
    <row r="32" spans="1:9" ht="15.75" x14ac:dyDescent="0.25">
      <c r="A32" s="85" t="s">
        <v>26</v>
      </c>
      <c r="B32" s="85"/>
      <c r="C32" s="85"/>
      <c r="D32" s="85"/>
      <c r="E32" s="85"/>
      <c r="F32" s="85"/>
      <c r="G32" s="85"/>
      <c r="H32" s="85"/>
    </row>
    <row r="33" spans="1:8" ht="15.75" x14ac:dyDescent="0.25">
      <c r="A33" s="36"/>
      <c r="B33" s="37" t="s">
        <v>36</v>
      </c>
      <c r="C33" s="37" t="s">
        <v>37</v>
      </c>
      <c r="D33" s="37" t="s">
        <v>38</v>
      </c>
      <c r="E33" s="37" t="s">
        <v>39</v>
      </c>
      <c r="F33" s="37" t="s">
        <v>40</v>
      </c>
      <c r="G33" s="37" t="s">
        <v>41</v>
      </c>
      <c r="H33" s="37" t="s">
        <v>42</v>
      </c>
    </row>
    <row r="34" spans="1:8" ht="15.75" x14ac:dyDescent="0.25">
      <c r="A34" s="36" t="s">
        <v>27</v>
      </c>
      <c r="B34" s="29">
        <v>15000</v>
      </c>
      <c r="C34" s="22"/>
      <c r="D34" s="22"/>
      <c r="E34" s="22"/>
      <c r="F34" s="22"/>
      <c r="G34" s="1"/>
      <c r="H34" s="1"/>
    </row>
    <row r="35" spans="1:8" ht="15.75" x14ac:dyDescent="0.25">
      <c r="A35" s="36" t="s">
        <v>28</v>
      </c>
      <c r="B35" s="1"/>
      <c r="C35" s="47">
        <v>0.09</v>
      </c>
      <c r="D35" s="47">
        <v>0.1</v>
      </c>
      <c r="E35" s="47">
        <v>0.12</v>
      </c>
      <c r="F35" s="47">
        <v>0.08</v>
      </c>
      <c r="G35" s="47">
        <v>0.09</v>
      </c>
      <c r="H35" s="47">
        <v>0.11</v>
      </c>
    </row>
    <row r="36" spans="1:8" ht="15.75" x14ac:dyDescent="0.25">
      <c r="A36" s="61" t="s">
        <v>29</v>
      </c>
      <c r="B36" s="1"/>
      <c r="C36" s="29">
        <f>C35*$B$34</f>
        <v>1350</v>
      </c>
      <c r="D36" s="29">
        <f t="shared" ref="D36:H36" si="9">D35*$B$34</f>
        <v>1500</v>
      </c>
      <c r="E36" s="29">
        <f t="shared" si="9"/>
        <v>1800</v>
      </c>
      <c r="F36" s="29">
        <f t="shared" si="9"/>
        <v>1200</v>
      </c>
      <c r="G36" s="29">
        <f t="shared" si="9"/>
        <v>1350</v>
      </c>
      <c r="H36" s="29">
        <f t="shared" si="9"/>
        <v>1650</v>
      </c>
    </row>
    <row r="37" spans="1:8" ht="15.75" x14ac:dyDescent="0.25">
      <c r="A37" s="36" t="s">
        <v>30</v>
      </c>
      <c r="B37" s="1"/>
      <c r="C37" s="72">
        <v>15000</v>
      </c>
      <c r="D37" s="72">
        <v>7000</v>
      </c>
      <c r="E37" s="72">
        <v>20000</v>
      </c>
      <c r="F37" s="72">
        <v>21000</v>
      </c>
      <c r="G37" s="72">
        <v>13000</v>
      </c>
      <c r="H37" s="72">
        <v>22000</v>
      </c>
    </row>
    <row r="38" spans="1:8" ht="15.75" x14ac:dyDescent="0.25">
      <c r="A38" s="36" t="s">
        <v>31</v>
      </c>
      <c r="B38" s="1"/>
      <c r="C38" s="29">
        <v>2</v>
      </c>
      <c r="D38" s="29">
        <v>4</v>
      </c>
      <c r="E38" s="29">
        <v>2</v>
      </c>
      <c r="F38" s="29">
        <v>1</v>
      </c>
      <c r="G38" s="29">
        <v>3</v>
      </c>
      <c r="H38" s="29">
        <v>2</v>
      </c>
    </row>
    <row r="39" spans="1:8" ht="15.75" x14ac:dyDescent="0.25">
      <c r="A39" s="61" t="s">
        <v>32</v>
      </c>
      <c r="B39" s="1"/>
      <c r="C39" s="31">
        <f>C36*C37*C38</f>
        <v>40500000</v>
      </c>
      <c r="D39" s="31">
        <f t="shared" ref="D39:H39" si="10">D36*D37*D38</f>
        <v>42000000</v>
      </c>
      <c r="E39" s="31">
        <f t="shared" si="10"/>
        <v>72000000</v>
      </c>
      <c r="F39" s="31">
        <f t="shared" si="10"/>
        <v>25200000</v>
      </c>
      <c r="G39" s="31">
        <f t="shared" si="10"/>
        <v>52650000</v>
      </c>
      <c r="H39" s="31">
        <f t="shared" si="10"/>
        <v>72600000</v>
      </c>
    </row>
    <row r="40" spans="1:8" ht="15.75" x14ac:dyDescent="0.25">
      <c r="A40" s="36" t="s">
        <v>33</v>
      </c>
      <c r="B40" s="1"/>
      <c r="C40" s="25">
        <v>0.06</v>
      </c>
      <c r="D40" s="25">
        <v>7.0000000000000007E-2</v>
      </c>
      <c r="E40" s="25">
        <v>0.08</v>
      </c>
      <c r="F40" s="25">
        <v>0.05</v>
      </c>
      <c r="G40" s="25">
        <v>0.09</v>
      </c>
      <c r="H40" s="25">
        <v>7.0000000000000007E-2</v>
      </c>
    </row>
    <row r="41" spans="1:8" ht="15.75" x14ac:dyDescent="0.25">
      <c r="A41" s="61" t="s">
        <v>34</v>
      </c>
      <c r="B41" s="1"/>
      <c r="C41" s="38">
        <f>C39*C40</f>
        <v>2430000</v>
      </c>
      <c r="D41" s="38">
        <f t="shared" ref="D41:H41" si="11">D39*D40</f>
        <v>2940000.0000000005</v>
      </c>
      <c r="E41" s="38">
        <f t="shared" si="11"/>
        <v>5760000</v>
      </c>
      <c r="F41" s="38">
        <f t="shared" si="11"/>
        <v>1260000</v>
      </c>
      <c r="G41" s="38">
        <f t="shared" si="11"/>
        <v>4738500</v>
      </c>
      <c r="H41" s="38">
        <f t="shared" si="11"/>
        <v>5082000.0000000009</v>
      </c>
    </row>
    <row r="42" spans="1:8" ht="15.75" x14ac:dyDescent="0.25">
      <c r="A42" s="6"/>
      <c r="B42" s="6"/>
      <c r="C42" s="6"/>
      <c r="D42" s="6"/>
      <c r="E42" s="6"/>
      <c r="F42" s="6"/>
      <c r="G42" s="6"/>
      <c r="H42" s="6"/>
    </row>
    <row r="43" spans="1:8" ht="15.75" x14ac:dyDescent="0.25">
      <c r="A43" s="33" t="s">
        <v>35</v>
      </c>
      <c r="B43" s="34"/>
      <c r="C43" s="6"/>
      <c r="D43" s="6"/>
      <c r="E43" s="35"/>
      <c r="F43" s="6"/>
      <c r="G43" s="6"/>
      <c r="H43" s="6"/>
    </row>
    <row r="44" spans="1:8" ht="47.25" x14ac:dyDescent="0.25">
      <c r="A44" s="20" t="s">
        <v>43</v>
      </c>
      <c r="B44" s="62">
        <f>SUM(C41:H41)</f>
        <v>22210500</v>
      </c>
      <c r="C44" s="6"/>
      <c r="D44" s="6"/>
      <c r="E44" s="6"/>
      <c r="F44" s="6"/>
      <c r="G44" s="6"/>
      <c r="H44" s="6"/>
    </row>
    <row r="46" spans="1:8" x14ac:dyDescent="0.25">
      <c r="E46" s="46"/>
    </row>
  </sheetData>
  <mergeCells count="6">
    <mergeCell ref="A16:F16"/>
    <mergeCell ref="A32:H32"/>
    <mergeCell ref="A31:H31"/>
    <mergeCell ref="A17:I17"/>
    <mergeCell ref="A1:F1"/>
    <mergeCell ref="A2:F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zoomScale="120" zoomScaleNormal="120" workbookViewId="0">
      <selection activeCell="E4" sqref="E4"/>
    </sheetView>
  </sheetViews>
  <sheetFormatPr baseColWidth="10" defaultColWidth="9.140625" defaultRowHeight="15" x14ac:dyDescent="0.25"/>
  <cols>
    <col min="1" max="1" width="11.7109375" bestFit="1" customWidth="1"/>
    <col min="2" max="2" width="12.5703125" bestFit="1" customWidth="1"/>
    <col min="3" max="3" width="14.140625" bestFit="1" customWidth="1"/>
    <col min="4" max="4" width="11.7109375" bestFit="1" customWidth="1"/>
    <col min="5" max="5" width="15.28515625" bestFit="1" customWidth="1"/>
    <col min="6" max="6" width="17.140625" bestFit="1" customWidth="1"/>
    <col min="7" max="7" width="2.28515625" style="11" customWidth="1"/>
    <col min="8" max="8" width="12.28515625" customWidth="1"/>
    <col min="9" max="9" width="15.28515625" bestFit="1" customWidth="1"/>
    <col min="10" max="10" width="13" bestFit="1" customWidth="1"/>
    <col min="11" max="11" width="11.5703125" customWidth="1"/>
    <col min="12" max="12" width="12.85546875" customWidth="1"/>
    <col min="13" max="13" width="16.42578125" customWidth="1"/>
    <col min="14" max="14" width="11.7109375" bestFit="1" customWidth="1"/>
    <col min="15" max="15" width="12.42578125" customWidth="1"/>
    <col min="16" max="16" width="14" customWidth="1"/>
    <col min="17" max="17" width="2.5703125" customWidth="1"/>
  </cols>
  <sheetData>
    <row r="1" spans="1:17" ht="18.75" x14ac:dyDescent="0.3">
      <c r="A1" s="95" t="s">
        <v>62</v>
      </c>
      <c r="B1" s="95"/>
      <c r="C1" s="95"/>
      <c r="D1" s="95"/>
      <c r="E1" s="95"/>
      <c r="F1" s="95"/>
      <c r="H1" s="95" t="s">
        <v>62</v>
      </c>
      <c r="I1" s="95"/>
      <c r="J1" s="95"/>
      <c r="K1" s="95"/>
      <c r="L1" s="95"/>
      <c r="M1" s="95"/>
      <c r="Q1" s="11"/>
    </row>
    <row r="2" spans="1:17" x14ac:dyDescent="0.25">
      <c r="Q2" s="11"/>
    </row>
    <row r="3" spans="1:17" ht="15" customHeight="1" x14ac:dyDescent="0.25">
      <c r="A3" s="92" t="s">
        <v>45</v>
      </c>
      <c r="B3" s="93"/>
      <c r="C3" s="94"/>
      <c r="D3" s="89" t="s">
        <v>46</v>
      </c>
      <c r="E3" s="90"/>
      <c r="F3" s="91"/>
      <c r="H3" s="92" t="s">
        <v>45</v>
      </c>
      <c r="I3" s="93"/>
      <c r="J3" s="94"/>
      <c r="K3" s="89" t="s">
        <v>46</v>
      </c>
      <c r="L3" s="90"/>
      <c r="M3" s="91"/>
      <c r="N3" s="89" t="s">
        <v>46</v>
      </c>
      <c r="O3" s="90"/>
      <c r="P3" s="91"/>
      <c r="Q3" s="11"/>
    </row>
    <row r="4" spans="1:17" ht="45" x14ac:dyDescent="0.25">
      <c r="A4" s="59" t="s">
        <v>47</v>
      </c>
      <c r="B4" s="59" t="s">
        <v>48</v>
      </c>
      <c r="C4" s="59" t="s">
        <v>49</v>
      </c>
      <c r="D4" s="60" t="s">
        <v>47</v>
      </c>
      <c r="E4" s="60" t="s">
        <v>48</v>
      </c>
      <c r="F4" s="60" t="s">
        <v>49</v>
      </c>
      <c r="H4" s="59" t="s">
        <v>47</v>
      </c>
      <c r="I4" s="59" t="s">
        <v>48</v>
      </c>
      <c r="J4" s="59" t="s">
        <v>49</v>
      </c>
      <c r="K4" s="59" t="s">
        <v>47</v>
      </c>
      <c r="L4" s="59" t="s">
        <v>48</v>
      </c>
      <c r="M4" s="59" t="s">
        <v>49</v>
      </c>
      <c r="N4" s="59" t="s">
        <v>47</v>
      </c>
      <c r="O4" s="59" t="s">
        <v>48</v>
      </c>
      <c r="P4" s="59" t="s">
        <v>49</v>
      </c>
      <c r="Q4" s="11"/>
    </row>
    <row r="5" spans="1:17" x14ac:dyDescent="0.25">
      <c r="A5" s="51" t="s">
        <v>50</v>
      </c>
      <c r="B5" s="52">
        <v>30000000</v>
      </c>
      <c r="C5" s="52">
        <f>B5</f>
        <v>30000000</v>
      </c>
      <c r="D5" s="51" t="s">
        <v>50</v>
      </c>
      <c r="E5" s="52">
        <f>B5*1.1</f>
        <v>33000000.000000004</v>
      </c>
      <c r="F5" s="52">
        <f>E5</f>
        <v>33000000.000000004</v>
      </c>
      <c r="H5" s="51" t="s">
        <v>50</v>
      </c>
      <c r="I5" s="52">
        <v>20000000</v>
      </c>
      <c r="J5" s="52">
        <f>I5</f>
        <v>20000000</v>
      </c>
      <c r="K5" s="51" t="s">
        <v>50</v>
      </c>
      <c r="L5" s="52">
        <f>I5*1.1</f>
        <v>22000000</v>
      </c>
      <c r="M5" s="52">
        <f>L5</f>
        <v>22000000</v>
      </c>
      <c r="N5" s="51" t="s">
        <v>50</v>
      </c>
      <c r="O5" s="52">
        <f>L5*1.075</f>
        <v>23650000</v>
      </c>
      <c r="P5" s="52">
        <f>O5</f>
        <v>23650000</v>
      </c>
      <c r="Q5" s="11"/>
    </row>
    <row r="6" spans="1:17" x14ac:dyDescent="0.25">
      <c r="A6" s="51" t="s">
        <v>51</v>
      </c>
      <c r="B6" s="52">
        <v>30000000</v>
      </c>
      <c r="C6" s="52">
        <f>C5+B6</f>
        <v>60000000</v>
      </c>
      <c r="D6" s="51" t="s">
        <v>51</v>
      </c>
      <c r="E6" s="52">
        <f t="shared" ref="E6:E7" si="0">B6*1.1</f>
        <v>33000000.000000004</v>
      </c>
      <c r="F6" s="52">
        <f>F5+E6</f>
        <v>66000000.000000007</v>
      </c>
      <c r="H6" s="51" t="s">
        <v>51</v>
      </c>
      <c r="I6" s="52">
        <v>20000000</v>
      </c>
      <c r="J6" s="52">
        <f>J5+I6</f>
        <v>40000000</v>
      </c>
      <c r="K6" s="51" t="s">
        <v>51</v>
      </c>
      <c r="L6" s="52">
        <f t="shared" ref="L6:L7" si="1">I6*1.1</f>
        <v>22000000</v>
      </c>
      <c r="M6" s="52">
        <f>M5+L6</f>
        <v>44000000</v>
      </c>
      <c r="N6" s="51" t="s">
        <v>51</v>
      </c>
      <c r="O6" s="52">
        <f t="shared" ref="O6:O7" si="2">L6*1.075</f>
        <v>23650000</v>
      </c>
      <c r="P6" s="52">
        <f>P5+O6</f>
        <v>47300000</v>
      </c>
      <c r="Q6" s="11"/>
    </row>
    <row r="7" spans="1:17" x14ac:dyDescent="0.25">
      <c r="A7" s="51" t="s">
        <v>52</v>
      </c>
      <c r="B7" s="52">
        <v>30000000</v>
      </c>
      <c r="C7" s="52">
        <f t="shared" ref="C7:C15" si="3">C6+B7</f>
        <v>90000000</v>
      </c>
      <c r="D7" s="51" t="s">
        <v>52</v>
      </c>
      <c r="E7" s="52">
        <f t="shared" si="0"/>
        <v>33000000.000000004</v>
      </c>
      <c r="F7" s="52">
        <f t="shared" ref="F7:F15" si="4">F6+E7</f>
        <v>99000000.000000015</v>
      </c>
      <c r="H7" s="51" t="s">
        <v>52</v>
      </c>
      <c r="I7" s="52">
        <v>20000000</v>
      </c>
      <c r="J7" s="52">
        <f t="shared" ref="J7:J16" si="5">J6+I7</f>
        <v>60000000</v>
      </c>
      <c r="K7" s="51" t="s">
        <v>52</v>
      </c>
      <c r="L7" s="52">
        <f t="shared" si="1"/>
        <v>22000000</v>
      </c>
      <c r="M7" s="52">
        <f t="shared" ref="M7:M16" si="6">M6+L7</f>
        <v>66000000</v>
      </c>
      <c r="N7" s="51" t="s">
        <v>52</v>
      </c>
      <c r="O7" s="52">
        <f t="shared" si="2"/>
        <v>23650000</v>
      </c>
      <c r="P7" s="52">
        <f t="shared" ref="P7:P15" si="7">P6+O7</f>
        <v>70950000</v>
      </c>
      <c r="Q7" s="11"/>
    </row>
    <row r="8" spans="1:17" x14ac:dyDescent="0.25">
      <c r="A8" s="53" t="s">
        <v>53</v>
      </c>
      <c r="B8" s="54">
        <f>B7*1.07</f>
        <v>32100000.000000004</v>
      </c>
      <c r="C8" s="54">
        <f t="shared" si="3"/>
        <v>122100000</v>
      </c>
      <c r="D8" s="53" t="s">
        <v>53</v>
      </c>
      <c r="E8" s="54">
        <f>E7*1.07</f>
        <v>35310000.000000007</v>
      </c>
      <c r="F8" s="54">
        <f t="shared" si="4"/>
        <v>134310000.00000003</v>
      </c>
      <c r="H8" s="53" t="s">
        <v>53</v>
      </c>
      <c r="I8" s="54">
        <f>I7*1.04</f>
        <v>20800000</v>
      </c>
      <c r="J8" s="52">
        <f t="shared" si="5"/>
        <v>80800000</v>
      </c>
      <c r="K8" s="53" t="s">
        <v>53</v>
      </c>
      <c r="L8" s="54">
        <f>L7*1.04</f>
        <v>22880000</v>
      </c>
      <c r="M8" s="52">
        <f t="shared" si="6"/>
        <v>88880000</v>
      </c>
      <c r="N8" s="53" t="s">
        <v>53</v>
      </c>
      <c r="O8" s="54">
        <f>O7*1.04</f>
        <v>24596000</v>
      </c>
      <c r="P8" s="52">
        <f t="shared" si="7"/>
        <v>95546000</v>
      </c>
      <c r="Q8" s="11"/>
    </row>
    <row r="9" spans="1:17" x14ac:dyDescent="0.25">
      <c r="A9" s="53" t="s">
        <v>54</v>
      </c>
      <c r="B9" s="54">
        <f>B8</f>
        <v>32100000.000000004</v>
      </c>
      <c r="C9" s="54">
        <f t="shared" si="3"/>
        <v>154200000</v>
      </c>
      <c r="D9" s="53" t="s">
        <v>54</v>
      </c>
      <c r="E9" s="54">
        <f>E8</f>
        <v>35310000.000000007</v>
      </c>
      <c r="F9" s="54">
        <f t="shared" si="4"/>
        <v>169620000.00000003</v>
      </c>
      <c r="H9" s="53" t="s">
        <v>54</v>
      </c>
      <c r="I9" s="54">
        <f>I7*1.04</f>
        <v>20800000</v>
      </c>
      <c r="J9" s="52">
        <f t="shared" si="5"/>
        <v>101600000</v>
      </c>
      <c r="K9" s="53" t="s">
        <v>54</v>
      </c>
      <c r="L9" s="54">
        <f>L7*1.04</f>
        <v>22880000</v>
      </c>
      <c r="M9" s="52">
        <f t="shared" si="6"/>
        <v>111760000</v>
      </c>
      <c r="N9" s="53" t="s">
        <v>54</v>
      </c>
      <c r="O9" s="54">
        <f>O7*1.04</f>
        <v>24596000</v>
      </c>
      <c r="P9" s="52">
        <f t="shared" si="7"/>
        <v>120142000</v>
      </c>
      <c r="Q9" s="11"/>
    </row>
    <row r="10" spans="1:17" x14ac:dyDescent="0.25">
      <c r="A10" s="53" t="s">
        <v>55</v>
      </c>
      <c r="B10" s="54">
        <f>B9</f>
        <v>32100000.000000004</v>
      </c>
      <c r="C10" s="54">
        <f t="shared" si="3"/>
        <v>186300000</v>
      </c>
      <c r="D10" s="53" t="s">
        <v>55</v>
      </c>
      <c r="E10" s="54">
        <f>E8</f>
        <v>35310000.000000007</v>
      </c>
      <c r="F10" s="54">
        <f t="shared" si="4"/>
        <v>204930000.00000003</v>
      </c>
      <c r="H10" s="53" t="s">
        <v>55</v>
      </c>
      <c r="I10" s="54">
        <f>I7*1.04</f>
        <v>20800000</v>
      </c>
      <c r="J10" s="52">
        <f t="shared" si="5"/>
        <v>122400000</v>
      </c>
      <c r="K10" s="53" t="s">
        <v>55</v>
      </c>
      <c r="L10" s="54">
        <f>L7*1.04</f>
        <v>22880000</v>
      </c>
      <c r="M10" s="52">
        <f t="shared" si="6"/>
        <v>134640000</v>
      </c>
      <c r="N10" s="53" t="s">
        <v>55</v>
      </c>
      <c r="O10" s="54">
        <f>O7*1.04</f>
        <v>24596000</v>
      </c>
      <c r="P10" s="52">
        <f t="shared" si="7"/>
        <v>144738000</v>
      </c>
      <c r="Q10" s="11"/>
    </row>
    <row r="11" spans="1:17" x14ac:dyDescent="0.25">
      <c r="A11" s="55" t="s">
        <v>56</v>
      </c>
      <c r="B11" s="56">
        <f>B10*1.03</f>
        <v>33063000.000000004</v>
      </c>
      <c r="C11" s="56">
        <f t="shared" si="3"/>
        <v>219363000</v>
      </c>
      <c r="D11" s="55" t="s">
        <v>56</v>
      </c>
      <c r="E11" s="56">
        <f>E10*1.03</f>
        <v>36369300.000000007</v>
      </c>
      <c r="F11" s="56">
        <f t="shared" si="4"/>
        <v>241299300.00000003</v>
      </c>
      <c r="H11" s="55" t="s">
        <v>56</v>
      </c>
      <c r="I11" s="56">
        <f>I8*1.035</f>
        <v>21528000</v>
      </c>
      <c r="J11" s="52">
        <f t="shared" si="5"/>
        <v>143928000</v>
      </c>
      <c r="K11" s="55" t="s">
        <v>56</v>
      </c>
      <c r="L11" s="56">
        <f>L8*1.035</f>
        <v>23680800</v>
      </c>
      <c r="M11" s="52">
        <f t="shared" si="6"/>
        <v>158320800</v>
      </c>
      <c r="N11" s="55" t="s">
        <v>56</v>
      </c>
      <c r="O11" s="56">
        <f>O8*1.035</f>
        <v>25456859.999999996</v>
      </c>
      <c r="P11" s="52">
        <f t="shared" si="7"/>
        <v>170194860</v>
      </c>
      <c r="Q11" s="11"/>
    </row>
    <row r="12" spans="1:17" x14ac:dyDescent="0.25">
      <c r="A12" s="55" t="s">
        <v>57</v>
      </c>
      <c r="B12" s="56">
        <f>B11</f>
        <v>33063000.000000004</v>
      </c>
      <c r="C12" s="56">
        <f t="shared" si="3"/>
        <v>252426000</v>
      </c>
      <c r="D12" s="55" t="s">
        <v>57</v>
      </c>
      <c r="E12" s="56">
        <f>E11</f>
        <v>36369300.000000007</v>
      </c>
      <c r="F12" s="56">
        <f t="shared" si="4"/>
        <v>277668600.00000006</v>
      </c>
      <c r="H12" s="55" t="s">
        <v>57</v>
      </c>
      <c r="I12" s="56">
        <f>I10*1.035</f>
        <v>21528000</v>
      </c>
      <c r="J12" s="52">
        <f t="shared" si="5"/>
        <v>165456000</v>
      </c>
      <c r="K12" s="55" t="s">
        <v>57</v>
      </c>
      <c r="L12" s="56">
        <f>L10*1.035</f>
        <v>23680800</v>
      </c>
      <c r="M12" s="52">
        <f t="shared" si="6"/>
        <v>182001600</v>
      </c>
      <c r="N12" s="55" t="s">
        <v>57</v>
      </c>
      <c r="O12" s="56">
        <f>O10*1.035</f>
        <v>25456859.999999996</v>
      </c>
      <c r="P12" s="52">
        <f t="shared" si="7"/>
        <v>195651720</v>
      </c>
      <c r="Q12" s="11"/>
    </row>
    <row r="13" spans="1:17" x14ac:dyDescent="0.25">
      <c r="A13" s="55" t="s">
        <v>58</v>
      </c>
      <c r="B13" s="56">
        <f>B12</f>
        <v>33063000.000000004</v>
      </c>
      <c r="C13" s="56">
        <f t="shared" si="3"/>
        <v>285489000</v>
      </c>
      <c r="D13" s="55" t="s">
        <v>58</v>
      </c>
      <c r="E13" s="56">
        <f>E12</f>
        <v>36369300.000000007</v>
      </c>
      <c r="F13" s="56">
        <f t="shared" si="4"/>
        <v>314037900.00000006</v>
      </c>
      <c r="H13" s="55" t="s">
        <v>58</v>
      </c>
      <c r="I13" s="56">
        <f>I10*1.035</f>
        <v>21528000</v>
      </c>
      <c r="J13" s="52">
        <f t="shared" si="5"/>
        <v>186984000</v>
      </c>
      <c r="K13" s="55" t="s">
        <v>58</v>
      </c>
      <c r="L13" s="56">
        <f>L10*1.035</f>
        <v>23680800</v>
      </c>
      <c r="M13" s="52">
        <f t="shared" si="6"/>
        <v>205682400</v>
      </c>
      <c r="N13" s="55" t="s">
        <v>58</v>
      </c>
      <c r="O13" s="56">
        <f>O10*1.035</f>
        <v>25456859.999999996</v>
      </c>
      <c r="P13" s="52">
        <f t="shared" si="7"/>
        <v>221108580</v>
      </c>
      <c r="Q13" s="11"/>
    </row>
    <row r="14" spans="1:17" x14ac:dyDescent="0.25">
      <c r="A14" s="57" t="s">
        <v>59</v>
      </c>
      <c r="B14" s="58">
        <f>B13-(B13*0.029)</f>
        <v>32104173.000000004</v>
      </c>
      <c r="C14" s="58">
        <f t="shared" si="3"/>
        <v>317593173</v>
      </c>
      <c r="D14" s="57" t="s">
        <v>59</v>
      </c>
      <c r="E14" s="58">
        <f>E13-(E13*0.029)</f>
        <v>35314590.300000004</v>
      </c>
      <c r="F14" s="58">
        <f t="shared" si="4"/>
        <v>349352490.30000007</v>
      </c>
      <c r="H14" s="57" t="s">
        <v>59</v>
      </c>
      <c r="I14" s="58">
        <f>I13-(I13*0.04)</f>
        <v>20666880</v>
      </c>
      <c r="J14" s="52">
        <f t="shared" si="5"/>
        <v>207650880</v>
      </c>
      <c r="K14" s="57" t="s">
        <v>59</v>
      </c>
      <c r="L14" s="58">
        <f>L13-(L13*0.04)</f>
        <v>22733568</v>
      </c>
      <c r="M14" s="52">
        <f t="shared" si="6"/>
        <v>228415968</v>
      </c>
      <c r="N14" s="57" t="s">
        <v>59</v>
      </c>
      <c r="O14" s="58">
        <f>O13-(O13*0.04)</f>
        <v>24438585.599999998</v>
      </c>
      <c r="P14" s="52">
        <f t="shared" si="7"/>
        <v>245547165.59999999</v>
      </c>
      <c r="Q14" s="11"/>
    </row>
    <row r="15" spans="1:17" x14ac:dyDescent="0.25">
      <c r="A15" s="57" t="s">
        <v>60</v>
      </c>
      <c r="B15" s="58">
        <f>B14</f>
        <v>32104173.000000004</v>
      </c>
      <c r="C15" s="58">
        <f t="shared" si="3"/>
        <v>349697346</v>
      </c>
      <c r="D15" s="57" t="s">
        <v>60</v>
      </c>
      <c r="E15" s="58">
        <f>E14</f>
        <v>35314590.300000004</v>
      </c>
      <c r="F15" s="58">
        <f t="shared" si="4"/>
        <v>384667080.60000008</v>
      </c>
      <c r="H15" s="57" t="s">
        <v>60</v>
      </c>
      <c r="I15" s="58">
        <f>I13-(I13*0.04)</f>
        <v>20666880</v>
      </c>
      <c r="J15" s="52">
        <f t="shared" si="5"/>
        <v>228317760</v>
      </c>
      <c r="K15" s="57" t="s">
        <v>60</v>
      </c>
      <c r="L15" s="58">
        <f>L13-(L13*0.04)</f>
        <v>22733568</v>
      </c>
      <c r="M15" s="52">
        <f t="shared" si="6"/>
        <v>251149536</v>
      </c>
      <c r="N15" s="57" t="s">
        <v>60</v>
      </c>
      <c r="O15" s="58">
        <f>O13-(O13*0.04)</f>
        <v>24438585.599999998</v>
      </c>
      <c r="P15" s="52">
        <f t="shared" si="7"/>
        <v>269985751.19999999</v>
      </c>
      <c r="Q15" s="11"/>
    </row>
    <row r="16" spans="1:17" ht="15.75" x14ac:dyDescent="0.25">
      <c r="A16" s="19" t="s">
        <v>61</v>
      </c>
      <c r="B16" s="39">
        <f>B15*1.105</f>
        <v>35475111.165000007</v>
      </c>
      <c r="C16" s="41">
        <f t="shared" ref="C16" si="8">+B16+C15</f>
        <v>385172457.16500002</v>
      </c>
      <c r="D16" s="19" t="s">
        <v>61</v>
      </c>
      <c r="E16" s="39">
        <f>E15*1.105</f>
        <v>39022622.281500004</v>
      </c>
      <c r="F16" s="41">
        <f t="shared" ref="F16" si="9">+E16+F15</f>
        <v>423689702.88150007</v>
      </c>
      <c r="H16" s="64" t="s">
        <v>61</v>
      </c>
      <c r="I16" s="65">
        <f>I15*1.1</f>
        <v>22733568</v>
      </c>
      <c r="J16" s="63">
        <f t="shared" si="5"/>
        <v>251051328</v>
      </c>
      <c r="K16" s="19" t="s">
        <v>61</v>
      </c>
      <c r="L16" s="65">
        <f>L15*1.1</f>
        <v>25006924.800000001</v>
      </c>
      <c r="M16" s="63">
        <f t="shared" si="6"/>
        <v>276156460.80000001</v>
      </c>
      <c r="N16" s="19" t="s">
        <v>61</v>
      </c>
      <c r="O16" s="58">
        <f>O15*1.1</f>
        <v>26882444.16</v>
      </c>
      <c r="P16" s="63">
        <f t="shared" ref="P16" si="10">P15+O16</f>
        <v>296868195.36000001</v>
      </c>
      <c r="Q16" s="11"/>
    </row>
    <row r="17" spans="1:17" ht="4.5" customHeight="1" x14ac:dyDescent="0.25">
      <c r="Q17" s="11"/>
    </row>
    <row r="18" spans="1:17" ht="18.75" x14ac:dyDescent="0.3">
      <c r="A18" s="40" t="s">
        <v>63</v>
      </c>
      <c r="B18" s="40"/>
      <c r="C18" s="40"/>
      <c r="D18" s="40"/>
      <c r="E18" s="40"/>
      <c r="F18" s="42">
        <f>C16+F16</f>
        <v>808862160.04650009</v>
      </c>
      <c r="H18" s="40" t="s">
        <v>64</v>
      </c>
      <c r="I18" s="40"/>
      <c r="J18" s="40"/>
      <c r="K18" s="40"/>
      <c r="L18" s="40"/>
      <c r="M18" s="42">
        <f>J16+M16+P16</f>
        <v>824075984.16000009</v>
      </c>
      <c r="Q18" s="11"/>
    </row>
    <row r="19" spans="1:17" ht="6" customHeight="1" x14ac:dyDescent="0.25">
      <c r="Q19" s="11"/>
    </row>
    <row r="20" spans="1:17" x14ac:dyDescent="0.25">
      <c r="A20" s="11"/>
      <c r="B20" s="11"/>
      <c r="C20" s="11"/>
      <c r="D20" s="11"/>
      <c r="E20" s="11"/>
      <c r="F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</sheetData>
  <mergeCells count="7">
    <mergeCell ref="N3:P3"/>
    <mergeCell ref="A3:C3"/>
    <mergeCell ref="D3:F3"/>
    <mergeCell ref="A1:F1"/>
    <mergeCell ref="H1:M1"/>
    <mergeCell ref="H3:J3"/>
    <mergeCell ref="K3:M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PRECIOS DE VENTADEL PROYECTO</vt:lpstr>
      <vt:lpstr>DEMANDA POTENCIAL DEL MERCADO</vt:lpstr>
      <vt:lpstr>PONÒSTICO DE 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2024-08-27T00:07:45Z</dcterms:modified>
</cp:coreProperties>
</file>